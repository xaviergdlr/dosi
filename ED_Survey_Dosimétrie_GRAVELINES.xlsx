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SUIVI_RTR" sheetId="2" state="visible" r:id="rId2"/>
    <sheet xmlns:r="http://schemas.openxmlformats.org/officeDocument/2006/relationships" name="SUIVI_BATIMENT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SYNTHESE" sheetId="5" state="visible" r:id="rId5"/>
    <sheet xmlns:r="http://schemas.openxmlformats.org/officeDocument/2006/relationships" name="LIS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rgb="FF000000"/>
      <sz val="9"/>
    </font>
    <font>
      <name val="Calibri"/>
      <b val="1"/>
      <color rgb="FFFFFFFF"/>
      <sz val="13"/>
    </font>
    <font>
      <name val="Calibri"/>
      <b val="1"/>
      <color rgb="FF000000"/>
      <sz val="11"/>
    </font>
  </fonts>
  <fills count="16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6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6" fontId="2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6" fontId="2" fillId="9" borderId="1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166" fontId="1" fillId="10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166" fontId="2" fillId="12" borderId="1" applyAlignment="1" pivotButton="0" quotePrefix="0" xfId="0">
      <alignment horizontal="center" vertical="center"/>
    </xf>
    <xf numFmtId="9" fontId="2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/>
    </xf>
    <xf numFmtId="166" fontId="1" fillId="13" borderId="1" applyAlignment="1" pivotButton="0" quotePrefix="0" xfId="0">
      <alignment horizontal="center" vertical="center"/>
    </xf>
    <xf numFmtId="9" fontId="1" fillId="1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6" fontId="1" fillId="2" borderId="1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166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0" fillId="0" borderId="5" pivotButton="0" quotePrefix="0" xfId="0"/>
    <xf numFmtId="166" fontId="5" fillId="6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  <xf numFmtId="166" fontId="5" fillId="12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166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hidden="1" width="8" customWidth="1" min="11" max="11"/>
    <col hidden="1" width="8" customWidth="1" min="12" max="12"/>
    <col hidden="1" width="8" customWidth="1" min="13" max="13"/>
    <col hidden="1" width="8" customWidth="1" min="14" max="14"/>
    <col width="20" customWidth="1" min="15" max="15"/>
  </cols>
  <sheetData>
    <row r="1" ht="18" customHeight="1">
      <c r="A1" s="1" t="inlineStr">
        <is>
          <t>Date</t>
        </is>
      </c>
      <c r="B1" s="1" t="inlineStr">
        <is>
          <t>DJ</t>
        </is>
      </c>
      <c r="C1" s="1" t="inlineStr">
        <is>
          <t>RTR</t>
        </is>
      </c>
      <c r="D1" s="1" t="inlineStr">
        <is>
          <t>Bâtiment</t>
        </is>
      </c>
      <c r="E1" s="1">
        <f>LISTES!$A$2</f>
        <v/>
      </c>
      <c r="F1" s="1">
        <f>LISTES!$A$3</f>
        <v/>
      </c>
      <c r="G1" s="1">
        <f>LISTES!$A$4</f>
        <v/>
      </c>
      <c r="H1" s="1">
        <f>LISTES!$A$5</f>
        <v/>
      </c>
      <c r="I1" s="1">
        <f>LISTES!$A$6</f>
        <v/>
      </c>
      <c r="J1" s="1">
        <f>LISTES!$A$7</f>
        <v/>
      </c>
      <c r="K1" s="1">
        <f>LISTES!$A$8</f>
        <v/>
      </c>
      <c r="L1" s="1">
        <f>LISTES!$A$9</f>
        <v/>
      </c>
      <c r="M1" s="1">
        <f>LISTES!$A$10</f>
        <v/>
      </c>
      <c r="N1" s="1">
        <f>LISTES!$A$11</f>
        <v/>
      </c>
      <c r="O1" s="1" t="inlineStr">
        <is>
          <t>Commentaire</t>
        </is>
      </c>
    </row>
    <row r="2">
      <c r="A2" s="2" t="n">
        <v>46072</v>
      </c>
      <c r="B2" s="3" t="inlineStr">
        <is>
          <t>AM</t>
        </is>
      </c>
      <c r="C2" s="4" t="inlineStr">
        <is>
          <t>RTR-1</t>
        </is>
      </c>
      <c r="D2" s="4" t="inlineStr">
        <is>
          <t>BAN7</t>
        </is>
      </c>
      <c r="E2" s="5" t="n">
        <v>0.002</v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4" t="n"/>
    </row>
    <row r="3">
      <c r="A3" s="6">
        <f>IF(B3=LISTES!$C$2,A2+1,A2)</f>
        <v/>
      </c>
      <c r="B3" s="7">
        <f>IF(B2=LISTES!$C$2,LISTES!$C$3,LISTES!$C$2)</f>
        <v/>
      </c>
      <c r="C3" s="8" t="n"/>
      <c r="D3" s="8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8" t="n"/>
    </row>
    <row r="4">
      <c r="A4" s="2">
        <f>IF(B4=LISTES!$C$2,A3+1,A3)</f>
        <v/>
      </c>
      <c r="B4" s="3">
        <f>IF(B3=LISTES!$C$2,LISTES!$C$3,LISTES!$C$2)</f>
        <v/>
      </c>
      <c r="C4" s="4" t="n"/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4" t="n"/>
    </row>
    <row r="5">
      <c r="A5" s="6">
        <f>IF(B5=LISTES!$C$2,A4+1,A4)</f>
        <v/>
      </c>
      <c r="B5" s="7">
        <f>IF(B4=LISTES!$C$2,LISTES!$C$3,LISTES!$C$2)</f>
        <v/>
      </c>
      <c r="C5" s="8" t="n"/>
      <c r="D5" s="8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8" t="n"/>
    </row>
    <row r="6">
      <c r="A6" s="2">
        <f>IF(B6=LISTES!$C$2,A5+1,A5)</f>
        <v/>
      </c>
      <c r="B6" s="3">
        <f>IF(B5=LISTES!$C$2,LISTES!$C$3,LISTES!$C$2)</f>
        <v/>
      </c>
      <c r="C6" s="4" t="n"/>
      <c r="D6" s="4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4" t="n"/>
    </row>
    <row r="7">
      <c r="A7" s="6">
        <f>IF(B7=LISTES!$C$2,A6+1,A6)</f>
        <v/>
      </c>
      <c r="B7" s="7">
        <f>IF(B6=LISTES!$C$2,LISTES!$C$3,LISTES!$C$2)</f>
        <v/>
      </c>
      <c r="C7" s="8" t="n"/>
      <c r="D7" s="8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8" t="n"/>
    </row>
    <row r="8">
      <c r="A8" s="2">
        <f>IF(B8=LISTES!$C$2,A7+1,A7)</f>
        <v/>
      </c>
      <c r="B8" s="3">
        <f>IF(B7=LISTES!$C$2,LISTES!$C$3,LISTES!$C$2)</f>
        <v/>
      </c>
      <c r="C8" s="4" t="n"/>
      <c r="D8" s="4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4" t="n"/>
    </row>
    <row r="9">
      <c r="A9" s="6">
        <f>IF(B9=LISTES!$C$2,A8+1,A8)</f>
        <v/>
      </c>
      <c r="B9" s="7">
        <f>IF(B8=LISTES!$C$2,LISTES!$C$3,LISTES!$C$2)</f>
        <v/>
      </c>
      <c r="C9" s="8" t="n"/>
      <c r="D9" s="8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8" t="n"/>
    </row>
    <row r="10">
      <c r="A10" s="2">
        <f>IF(B10=LISTES!$C$2,A9+1,A9)</f>
        <v/>
      </c>
      <c r="B10" s="3">
        <f>IF(B9=LISTES!$C$2,LISTES!$C$3,LISTES!$C$2)</f>
        <v/>
      </c>
      <c r="C10" s="4" t="n"/>
      <c r="D10" s="4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4" t="n"/>
    </row>
    <row r="11">
      <c r="A11" s="6">
        <f>IF(B11=LISTES!$C$2,A10+1,A10)</f>
        <v/>
      </c>
      <c r="B11" s="7">
        <f>IF(B10=LISTES!$C$2,LISTES!$C$3,LISTES!$C$2)</f>
        <v/>
      </c>
      <c r="C11" s="8" t="n"/>
      <c r="D11" s="8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8" t="n"/>
    </row>
    <row r="12">
      <c r="A12" s="2">
        <f>IF(B12=LISTES!$C$2,A11+1,A11)</f>
        <v/>
      </c>
      <c r="B12" s="3">
        <f>IF(B11=LISTES!$C$2,LISTES!$C$3,LISTES!$C$2)</f>
        <v/>
      </c>
      <c r="C12" s="4" t="n"/>
      <c r="D12" s="4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4" t="n"/>
    </row>
    <row r="13">
      <c r="A13" s="6">
        <f>IF(B13=LISTES!$C$2,A12+1,A12)</f>
        <v/>
      </c>
      <c r="B13" s="7">
        <f>IF(B12=LISTES!$C$2,LISTES!$C$3,LISTES!$C$2)</f>
        <v/>
      </c>
      <c r="C13" s="8" t="n"/>
      <c r="D13" s="8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8" t="n"/>
    </row>
    <row r="14">
      <c r="A14" s="2">
        <f>IF(B14=LISTES!$C$2,A13+1,A13)</f>
        <v/>
      </c>
      <c r="B14" s="3">
        <f>IF(B13=LISTES!$C$2,LISTES!$C$3,LISTES!$C$2)</f>
        <v/>
      </c>
      <c r="C14" s="4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4" t="n"/>
    </row>
    <row r="15">
      <c r="A15" s="6">
        <f>IF(B15=LISTES!$C$2,A14+1,A14)</f>
        <v/>
      </c>
      <c r="B15" s="7">
        <f>IF(B14=LISTES!$C$2,LISTES!$C$3,LISTES!$C$2)</f>
        <v/>
      </c>
      <c r="C15" s="8" t="n"/>
      <c r="D15" s="8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8" t="n"/>
    </row>
    <row r="16">
      <c r="A16" s="2">
        <f>IF(B16=LISTES!$C$2,A15+1,A15)</f>
        <v/>
      </c>
      <c r="B16" s="3">
        <f>IF(B15=LISTES!$C$2,LISTES!$C$3,LISTES!$C$2)</f>
        <v/>
      </c>
      <c r="C16" s="4" t="n"/>
      <c r="D16" s="4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4" t="n"/>
    </row>
    <row r="17">
      <c r="A17" s="6">
        <f>IF(B17=LISTES!$C$2,A16+1,A16)</f>
        <v/>
      </c>
      <c r="B17" s="7">
        <f>IF(B16=LISTES!$C$2,LISTES!$C$3,LISTES!$C$2)</f>
        <v/>
      </c>
      <c r="C17" s="8" t="n"/>
      <c r="D17" s="8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n"/>
    </row>
    <row r="18">
      <c r="A18" s="2">
        <f>IF(B18=LISTES!$C$2,A17+1,A17)</f>
        <v/>
      </c>
      <c r="B18" s="3">
        <f>IF(B17=LISTES!$C$2,LISTES!$C$3,LISTES!$C$2)</f>
        <v/>
      </c>
      <c r="C18" s="4" t="n"/>
      <c r="D18" s="4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4" t="n"/>
    </row>
    <row r="19">
      <c r="A19" s="6">
        <f>IF(B19=LISTES!$C$2,A18+1,A18)</f>
        <v/>
      </c>
      <c r="B19" s="7">
        <f>IF(B18=LISTES!$C$2,LISTES!$C$3,LISTES!$C$2)</f>
        <v/>
      </c>
      <c r="C19" s="8" t="n"/>
      <c r="D19" s="8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8" t="n"/>
    </row>
    <row r="20">
      <c r="A20" s="2">
        <f>IF(B20=LISTES!$C$2,A19+1,A19)</f>
        <v/>
      </c>
      <c r="B20" s="3">
        <f>IF(B19=LISTES!$C$2,LISTES!$C$3,LISTES!$C$2)</f>
        <v/>
      </c>
      <c r="C20" s="4" t="n"/>
      <c r="D20" s="4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4" t="n"/>
    </row>
    <row r="21">
      <c r="A21" s="6">
        <f>IF(B21=LISTES!$C$2,A20+1,A20)</f>
        <v/>
      </c>
      <c r="B21" s="7">
        <f>IF(B20=LISTES!$C$2,LISTES!$C$3,LISTES!$C$2)</f>
        <v/>
      </c>
      <c r="C21" s="8" t="n"/>
      <c r="D21" s="8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8" t="n"/>
    </row>
    <row r="22">
      <c r="A22" s="2">
        <f>IF(B22=LISTES!$C$2,A21+1,A21)</f>
        <v/>
      </c>
      <c r="B22" s="3">
        <f>IF(B21=LISTES!$C$2,LISTES!$C$3,LISTES!$C$2)</f>
        <v/>
      </c>
      <c r="C22" s="4" t="n"/>
      <c r="D22" s="4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4" t="n"/>
    </row>
    <row r="23">
      <c r="A23" s="6">
        <f>IF(B23=LISTES!$C$2,A22+1,A22)</f>
        <v/>
      </c>
      <c r="B23" s="7">
        <f>IF(B22=LISTES!$C$2,LISTES!$C$3,LISTES!$C$2)</f>
        <v/>
      </c>
      <c r="C23" s="8" t="n"/>
      <c r="D23" s="8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8" t="n"/>
    </row>
    <row r="24">
      <c r="A24" s="2">
        <f>IF(B24=LISTES!$C$2,A23+1,A23)</f>
        <v/>
      </c>
      <c r="B24" s="3">
        <f>IF(B23=LISTES!$C$2,LISTES!$C$3,LISTES!$C$2)</f>
        <v/>
      </c>
      <c r="C24" s="4" t="n"/>
      <c r="D24" s="4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4" t="n"/>
    </row>
    <row r="25">
      <c r="A25" s="6">
        <f>IF(B25=LISTES!$C$2,A24+1,A24)</f>
        <v/>
      </c>
      <c r="B25" s="7">
        <f>IF(B24=LISTES!$C$2,LISTES!$C$3,LISTES!$C$2)</f>
        <v/>
      </c>
      <c r="C25" s="8" t="n"/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8" t="n"/>
    </row>
    <row r="26">
      <c r="A26" s="2">
        <f>IF(B26=LISTES!$C$2,A25+1,A25)</f>
        <v/>
      </c>
      <c r="B26" s="3">
        <f>IF(B25=LISTES!$C$2,LISTES!$C$3,LISTES!$C$2)</f>
        <v/>
      </c>
      <c r="C26" s="4" t="n"/>
      <c r="D26" s="4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4" t="n"/>
    </row>
    <row r="27">
      <c r="A27" s="6">
        <f>IF(B27=LISTES!$C$2,A26+1,A26)</f>
        <v/>
      </c>
      <c r="B27" s="7">
        <f>IF(B26=LISTES!$C$2,LISTES!$C$3,LISTES!$C$2)</f>
        <v/>
      </c>
      <c r="C27" s="8" t="n"/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8" t="n"/>
    </row>
    <row r="28">
      <c r="A28" s="2">
        <f>IF(B28=LISTES!$C$2,A27+1,A27)</f>
        <v/>
      </c>
      <c r="B28" s="3">
        <f>IF(B27=LISTES!$C$2,LISTES!$C$3,LISTES!$C$2)</f>
        <v/>
      </c>
      <c r="C28" s="4" t="n"/>
      <c r="D28" s="4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4" t="n"/>
    </row>
    <row r="29">
      <c r="A29" s="6">
        <f>IF(B29=LISTES!$C$2,A28+1,A28)</f>
        <v/>
      </c>
      <c r="B29" s="7">
        <f>IF(B28=LISTES!$C$2,LISTES!$C$3,LISTES!$C$2)</f>
        <v/>
      </c>
      <c r="C29" s="8" t="n"/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8" t="n"/>
    </row>
    <row r="30">
      <c r="A30" s="2">
        <f>IF(B30=LISTES!$C$2,A29+1,A29)</f>
        <v/>
      </c>
      <c r="B30" s="3">
        <f>IF(B29=LISTES!$C$2,LISTES!$C$3,LISTES!$C$2)</f>
        <v/>
      </c>
      <c r="C30" s="4" t="n"/>
      <c r="D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4" t="n"/>
    </row>
    <row r="31">
      <c r="A31" s="6">
        <f>IF(B31=LISTES!$C$2,A30+1,A30)</f>
        <v/>
      </c>
      <c r="B31" s="7">
        <f>IF(B30=LISTES!$C$2,LISTES!$C$3,LISTES!$C$2)</f>
        <v/>
      </c>
      <c r="C31" s="8" t="n"/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8" t="n"/>
    </row>
    <row r="32">
      <c r="A32" s="2">
        <f>IF(B32=LISTES!$C$2,A31+1,A31)</f>
        <v/>
      </c>
      <c r="B32" s="3">
        <f>IF(B31=LISTES!$C$2,LISTES!$C$3,LISTES!$C$2)</f>
        <v/>
      </c>
      <c r="C32" s="4" t="n"/>
      <c r="D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4" t="n"/>
    </row>
    <row r="33">
      <c r="A33" s="6">
        <f>IF(B33=LISTES!$C$2,A32+1,A32)</f>
        <v/>
      </c>
      <c r="B33" s="7">
        <f>IF(B32=LISTES!$C$2,LISTES!$C$3,LISTES!$C$2)</f>
        <v/>
      </c>
      <c r="C33" s="8" t="n"/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8" t="n"/>
    </row>
    <row r="34">
      <c r="A34" s="2">
        <f>IF(B34=LISTES!$C$2,A33+1,A33)</f>
        <v/>
      </c>
      <c r="B34" s="3">
        <f>IF(B33=LISTES!$C$2,LISTES!$C$3,LISTES!$C$2)</f>
        <v/>
      </c>
      <c r="C34" s="4" t="n"/>
      <c r="D34" s="4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4" t="n"/>
    </row>
    <row r="35">
      <c r="A35" s="6">
        <f>IF(B35=LISTES!$C$2,A34+1,A34)</f>
        <v/>
      </c>
      <c r="B35" s="7">
        <f>IF(B34=LISTES!$C$2,LISTES!$C$3,LISTES!$C$2)</f>
        <v/>
      </c>
      <c r="C35" s="8" t="n"/>
      <c r="D35" s="8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8" t="n"/>
    </row>
    <row r="36">
      <c r="A36" s="2">
        <f>IF(B36=LISTES!$C$2,A35+1,A35)</f>
        <v/>
      </c>
      <c r="B36" s="3">
        <f>IF(B35=LISTES!$C$2,LISTES!$C$3,LISTES!$C$2)</f>
        <v/>
      </c>
      <c r="C36" s="4" t="n"/>
      <c r="D36" s="4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4" t="n"/>
    </row>
    <row r="37">
      <c r="A37" s="6">
        <f>IF(B37=LISTES!$C$2,A36+1,A36)</f>
        <v/>
      </c>
      <c r="B37" s="7">
        <f>IF(B36=LISTES!$C$2,LISTES!$C$3,LISTES!$C$2)</f>
        <v/>
      </c>
      <c r="C37" s="8" t="n"/>
      <c r="D37" s="8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8" t="n"/>
    </row>
    <row r="38">
      <c r="A38" s="2">
        <f>IF(B38=LISTES!$C$2,A37+1,A37)</f>
        <v/>
      </c>
      <c r="B38" s="3">
        <f>IF(B37=LISTES!$C$2,LISTES!$C$3,LISTES!$C$2)</f>
        <v/>
      </c>
      <c r="C38" s="4" t="n"/>
      <c r="D38" s="4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4" t="n"/>
    </row>
    <row r="39">
      <c r="A39" s="6">
        <f>IF(B39=LISTES!$C$2,A38+1,A38)</f>
        <v/>
      </c>
      <c r="B39" s="7">
        <f>IF(B38=LISTES!$C$2,LISTES!$C$3,LISTES!$C$2)</f>
        <v/>
      </c>
      <c r="C39" s="8" t="n"/>
      <c r="D39" s="8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8" t="n"/>
    </row>
    <row r="40">
      <c r="A40" s="2">
        <f>IF(B40=LISTES!$C$2,A39+1,A39)</f>
        <v/>
      </c>
      <c r="B40" s="3">
        <f>IF(B39=LISTES!$C$2,LISTES!$C$3,LISTES!$C$2)</f>
        <v/>
      </c>
      <c r="C40" s="4" t="n"/>
      <c r="D40" s="4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4" t="n"/>
    </row>
    <row r="41">
      <c r="A41" s="6">
        <f>IF(B41=LISTES!$C$2,A40+1,A40)</f>
        <v/>
      </c>
      <c r="B41" s="7">
        <f>IF(B40=LISTES!$C$2,LISTES!$C$3,LISTES!$C$2)</f>
        <v/>
      </c>
      <c r="C41" s="8" t="n"/>
      <c r="D41" s="8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8" t="n"/>
    </row>
    <row r="42">
      <c r="A42" s="2">
        <f>IF(B42=LISTES!$C$2,A41+1,A41)</f>
        <v/>
      </c>
      <c r="B42" s="3">
        <f>IF(B41=LISTES!$C$2,LISTES!$C$3,LISTES!$C$2)</f>
        <v/>
      </c>
      <c r="C42" s="4" t="n"/>
      <c r="D42" s="4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4" t="n"/>
    </row>
    <row r="43">
      <c r="A43" s="6">
        <f>IF(B43=LISTES!$C$2,A42+1,A42)</f>
        <v/>
      </c>
      <c r="B43" s="7">
        <f>IF(B42=LISTES!$C$2,LISTES!$C$3,LISTES!$C$2)</f>
        <v/>
      </c>
      <c r="C43" s="8" t="n"/>
      <c r="D43" s="8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8" t="n"/>
    </row>
    <row r="44">
      <c r="A44" s="2">
        <f>IF(B44=LISTES!$C$2,A43+1,A43)</f>
        <v/>
      </c>
      <c r="B44" s="3">
        <f>IF(B43=LISTES!$C$2,LISTES!$C$3,LISTES!$C$2)</f>
        <v/>
      </c>
      <c r="C44" s="4" t="n"/>
      <c r="D44" s="4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4" t="n"/>
    </row>
    <row r="45">
      <c r="A45" s="6">
        <f>IF(B45=LISTES!$C$2,A44+1,A44)</f>
        <v/>
      </c>
      <c r="B45" s="7">
        <f>IF(B44=LISTES!$C$2,LISTES!$C$3,LISTES!$C$2)</f>
        <v/>
      </c>
      <c r="C45" s="8" t="n"/>
      <c r="D45" s="8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8" t="n"/>
    </row>
    <row r="46">
      <c r="A46" s="2">
        <f>IF(B46=LISTES!$C$2,A45+1,A45)</f>
        <v/>
      </c>
      <c r="B46" s="3">
        <f>IF(B45=LISTES!$C$2,LISTES!$C$3,LISTES!$C$2)</f>
        <v/>
      </c>
      <c r="C46" s="4" t="n"/>
      <c r="D46" s="4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4" t="n"/>
    </row>
    <row r="47">
      <c r="A47" s="6">
        <f>IF(B47=LISTES!$C$2,A46+1,A46)</f>
        <v/>
      </c>
      <c r="B47" s="7">
        <f>IF(B46=LISTES!$C$2,LISTES!$C$3,LISTES!$C$2)</f>
        <v/>
      </c>
      <c r="C47" s="8" t="n"/>
      <c r="D47" s="8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8" t="n"/>
    </row>
    <row r="48">
      <c r="A48" s="2">
        <f>IF(B48=LISTES!$C$2,A47+1,A47)</f>
        <v/>
      </c>
      <c r="B48" s="3">
        <f>IF(B47=LISTES!$C$2,LISTES!$C$3,LISTES!$C$2)</f>
        <v/>
      </c>
      <c r="C48" s="4" t="n"/>
      <c r="D48" s="4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4" t="n"/>
    </row>
    <row r="49">
      <c r="A49" s="6">
        <f>IF(B49=LISTES!$C$2,A48+1,A48)</f>
        <v/>
      </c>
      <c r="B49" s="7">
        <f>IF(B48=LISTES!$C$2,LISTES!$C$3,LISTES!$C$2)</f>
        <v/>
      </c>
      <c r="C49" s="8" t="n"/>
      <c r="D49" s="8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8" t="n"/>
    </row>
    <row r="50">
      <c r="A50" s="2">
        <f>IF(B50=LISTES!$C$2,A49+1,A49)</f>
        <v/>
      </c>
      <c r="B50" s="3">
        <f>IF(B49=LISTES!$C$2,LISTES!$C$3,LISTES!$C$2)</f>
        <v/>
      </c>
      <c r="C50" s="4" t="n"/>
      <c r="D50" s="4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4" t="n"/>
    </row>
    <row r="51">
      <c r="A51" s="6">
        <f>IF(B51=LISTES!$C$2,A50+1,A50)</f>
        <v/>
      </c>
      <c r="B51" s="7">
        <f>IF(B50=LISTES!$C$2,LISTES!$C$3,LISTES!$C$2)</f>
        <v/>
      </c>
      <c r="C51" s="8" t="n"/>
      <c r="D51" s="8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8" t="n"/>
    </row>
    <row r="52">
      <c r="A52" s="2">
        <f>IF(B52=LISTES!$C$2,A51+1,A51)</f>
        <v/>
      </c>
      <c r="B52" s="3">
        <f>IF(B51=LISTES!$C$2,LISTES!$C$3,LISTES!$C$2)</f>
        <v/>
      </c>
      <c r="C52" s="4" t="n"/>
      <c r="D52" s="4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4" t="n"/>
    </row>
    <row r="53">
      <c r="A53" s="6">
        <f>IF(B53=LISTES!$C$2,A52+1,A52)</f>
        <v/>
      </c>
      <c r="B53" s="7">
        <f>IF(B52=LISTES!$C$2,LISTES!$C$3,LISTES!$C$2)</f>
        <v/>
      </c>
      <c r="C53" s="8" t="n"/>
      <c r="D53" s="8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8" t="n"/>
    </row>
    <row r="54">
      <c r="A54" s="2">
        <f>IF(B54=LISTES!$C$2,A53+1,A53)</f>
        <v/>
      </c>
      <c r="B54" s="3">
        <f>IF(B53=LISTES!$C$2,LISTES!$C$3,LISTES!$C$2)</f>
        <v/>
      </c>
      <c r="C54" s="4" t="n"/>
      <c r="D54" s="4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4" t="n"/>
    </row>
    <row r="55">
      <c r="A55" s="6">
        <f>IF(B55=LISTES!$C$2,A54+1,A54)</f>
        <v/>
      </c>
      <c r="B55" s="7">
        <f>IF(B54=LISTES!$C$2,LISTES!$C$3,LISTES!$C$2)</f>
        <v/>
      </c>
      <c r="C55" s="8" t="n"/>
      <c r="D55" s="8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8" t="n"/>
    </row>
    <row r="56">
      <c r="A56" s="2">
        <f>IF(B56=LISTES!$C$2,A55+1,A55)</f>
        <v/>
      </c>
      <c r="B56" s="3">
        <f>IF(B55=LISTES!$C$2,LISTES!$C$3,LISTES!$C$2)</f>
        <v/>
      </c>
      <c r="C56" s="4" t="n"/>
      <c r="D56" s="4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4" t="n"/>
    </row>
    <row r="57">
      <c r="A57" s="6">
        <f>IF(B57=LISTES!$C$2,A56+1,A56)</f>
        <v/>
      </c>
      <c r="B57" s="7">
        <f>IF(B56=LISTES!$C$2,LISTES!$C$3,LISTES!$C$2)</f>
        <v/>
      </c>
      <c r="C57" s="8" t="n"/>
      <c r="D57" s="8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8" t="n"/>
    </row>
    <row r="58">
      <c r="A58" s="2">
        <f>IF(B58=LISTES!$C$2,A57+1,A57)</f>
        <v/>
      </c>
      <c r="B58" s="3">
        <f>IF(B57=LISTES!$C$2,LISTES!$C$3,LISTES!$C$2)</f>
        <v/>
      </c>
      <c r="C58" s="4" t="n"/>
      <c r="D58" s="4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4" t="n"/>
    </row>
    <row r="59">
      <c r="A59" s="6">
        <f>IF(B59=LISTES!$C$2,A58+1,A58)</f>
        <v/>
      </c>
      <c r="B59" s="7">
        <f>IF(B58=LISTES!$C$2,LISTES!$C$3,LISTES!$C$2)</f>
        <v/>
      </c>
      <c r="C59" s="8" t="n"/>
      <c r="D59" s="8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8" t="n"/>
    </row>
    <row r="60">
      <c r="A60" s="2">
        <f>IF(B60=LISTES!$C$2,A59+1,A59)</f>
        <v/>
      </c>
      <c r="B60" s="3">
        <f>IF(B59=LISTES!$C$2,LISTES!$C$3,LISTES!$C$2)</f>
        <v/>
      </c>
      <c r="C60" s="4" t="n"/>
      <c r="D60" s="4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4" t="n"/>
    </row>
    <row r="61">
      <c r="A61" s="6">
        <f>IF(B61=LISTES!$C$2,A60+1,A60)</f>
        <v/>
      </c>
      <c r="B61" s="7">
        <f>IF(B60=LISTES!$C$2,LISTES!$C$3,LISTES!$C$2)</f>
        <v/>
      </c>
      <c r="C61" s="8" t="n"/>
      <c r="D61" s="8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8" t="n"/>
    </row>
    <row r="62">
      <c r="A62" s="2">
        <f>IF(B62=LISTES!$C$2,A61+1,A61)</f>
        <v/>
      </c>
      <c r="B62" s="3">
        <f>IF(B61=LISTES!$C$2,LISTES!$C$3,LISTES!$C$2)</f>
        <v/>
      </c>
      <c r="C62" s="4" t="n"/>
      <c r="D62" s="4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4" t="n"/>
    </row>
    <row r="63">
      <c r="A63" s="6">
        <f>IF(B63=LISTES!$C$2,A62+1,A62)</f>
        <v/>
      </c>
      <c r="B63" s="7">
        <f>IF(B62=LISTES!$C$2,LISTES!$C$3,LISTES!$C$2)</f>
        <v/>
      </c>
      <c r="C63" s="8" t="n"/>
      <c r="D63" s="8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8" t="n"/>
    </row>
    <row r="64">
      <c r="A64" s="2">
        <f>IF(B64=LISTES!$C$2,A63+1,A63)</f>
        <v/>
      </c>
      <c r="B64" s="3">
        <f>IF(B63=LISTES!$C$2,LISTES!$C$3,LISTES!$C$2)</f>
        <v/>
      </c>
      <c r="C64" s="4" t="n"/>
      <c r="D64" s="4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4" t="n"/>
    </row>
    <row r="65">
      <c r="A65" s="6">
        <f>IF(B65=LISTES!$C$2,A64+1,A64)</f>
        <v/>
      </c>
      <c r="B65" s="7">
        <f>IF(B64=LISTES!$C$2,LISTES!$C$3,LISTES!$C$2)</f>
        <v/>
      </c>
      <c r="C65" s="8" t="n"/>
      <c r="D65" s="8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8" t="n"/>
    </row>
    <row r="66">
      <c r="A66" s="2">
        <f>IF(B66=LISTES!$C$2,A65+1,A65)</f>
        <v/>
      </c>
      <c r="B66" s="3">
        <f>IF(B65=LISTES!$C$2,LISTES!$C$3,LISTES!$C$2)</f>
        <v/>
      </c>
      <c r="C66" s="4" t="n"/>
      <c r="D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4" t="n"/>
    </row>
    <row r="67">
      <c r="A67" s="6">
        <f>IF(B67=LISTES!$C$2,A66+1,A66)</f>
        <v/>
      </c>
      <c r="B67" s="7">
        <f>IF(B66=LISTES!$C$2,LISTES!$C$3,LISTES!$C$2)</f>
        <v/>
      </c>
      <c r="C67" s="8" t="n"/>
      <c r="D67" s="8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8" t="n"/>
    </row>
    <row r="68">
      <c r="A68" s="2">
        <f>IF(B68=LISTES!$C$2,A67+1,A67)</f>
        <v/>
      </c>
      <c r="B68" s="3">
        <f>IF(B67=LISTES!$C$2,LISTES!$C$3,LISTES!$C$2)</f>
        <v/>
      </c>
      <c r="C68" s="4" t="n"/>
      <c r="D68" s="4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4" t="n"/>
    </row>
    <row r="69">
      <c r="A69" s="6">
        <f>IF(B69=LISTES!$C$2,A68+1,A68)</f>
        <v/>
      </c>
      <c r="B69" s="7">
        <f>IF(B68=LISTES!$C$2,LISTES!$C$3,LISTES!$C$2)</f>
        <v/>
      </c>
      <c r="C69" s="8" t="n"/>
      <c r="D69" s="8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8" t="n"/>
    </row>
    <row r="70">
      <c r="A70" s="2">
        <f>IF(B70=LISTES!$C$2,A69+1,A69)</f>
        <v/>
      </c>
      <c r="B70" s="3">
        <f>IF(B69=LISTES!$C$2,LISTES!$C$3,LISTES!$C$2)</f>
        <v/>
      </c>
      <c r="C70" s="4" t="n"/>
      <c r="D70" s="4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4" t="n"/>
    </row>
    <row r="71">
      <c r="A71" s="6">
        <f>IF(B71=LISTES!$C$2,A70+1,A70)</f>
        <v/>
      </c>
      <c r="B71" s="7">
        <f>IF(B70=LISTES!$C$2,LISTES!$C$3,LISTES!$C$2)</f>
        <v/>
      </c>
      <c r="C71" s="8" t="n"/>
      <c r="D71" s="8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8" t="n"/>
    </row>
    <row r="72">
      <c r="A72" s="2">
        <f>IF(B72=LISTES!$C$2,A71+1,A71)</f>
        <v/>
      </c>
      <c r="B72" s="3">
        <f>IF(B71=LISTES!$C$2,LISTES!$C$3,LISTES!$C$2)</f>
        <v/>
      </c>
      <c r="C72" s="4" t="n"/>
      <c r="D72" s="4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4" t="n"/>
    </row>
    <row r="73">
      <c r="A73" s="6">
        <f>IF(B73=LISTES!$C$2,A72+1,A72)</f>
        <v/>
      </c>
      <c r="B73" s="7">
        <f>IF(B72=LISTES!$C$2,LISTES!$C$3,LISTES!$C$2)</f>
        <v/>
      </c>
      <c r="C73" s="8" t="n"/>
      <c r="D73" s="8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8" t="n"/>
    </row>
    <row r="74">
      <c r="A74" s="2">
        <f>IF(B74=LISTES!$C$2,A73+1,A73)</f>
        <v/>
      </c>
      <c r="B74" s="3">
        <f>IF(B73=LISTES!$C$2,LISTES!$C$3,LISTES!$C$2)</f>
        <v/>
      </c>
      <c r="C74" s="4" t="n"/>
      <c r="D74" s="4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4" t="n"/>
    </row>
    <row r="75">
      <c r="A75" s="6">
        <f>IF(B75=LISTES!$C$2,A74+1,A74)</f>
        <v/>
      </c>
      <c r="B75" s="7">
        <f>IF(B74=LISTES!$C$2,LISTES!$C$3,LISTES!$C$2)</f>
        <v/>
      </c>
      <c r="C75" s="8" t="n"/>
      <c r="D75" s="8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8" t="n"/>
    </row>
    <row r="76">
      <c r="A76" s="2">
        <f>IF(B76=LISTES!$C$2,A75+1,A75)</f>
        <v/>
      </c>
      <c r="B76" s="3">
        <f>IF(B75=LISTES!$C$2,LISTES!$C$3,LISTES!$C$2)</f>
        <v/>
      </c>
      <c r="C76" s="4" t="n"/>
      <c r="D76" s="4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4" t="n"/>
    </row>
    <row r="77">
      <c r="A77" s="6">
        <f>IF(B77=LISTES!$C$2,A76+1,A76)</f>
        <v/>
      </c>
      <c r="B77" s="7">
        <f>IF(B76=LISTES!$C$2,LISTES!$C$3,LISTES!$C$2)</f>
        <v/>
      </c>
      <c r="C77" s="8" t="n"/>
      <c r="D77" s="8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8" t="n"/>
    </row>
    <row r="78">
      <c r="A78" s="2">
        <f>IF(B78=LISTES!$C$2,A77+1,A77)</f>
        <v/>
      </c>
      <c r="B78" s="3">
        <f>IF(B77=LISTES!$C$2,LISTES!$C$3,LISTES!$C$2)</f>
        <v/>
      </c>
      <c r="C78" s="4" t="n"/>
      <c r="D78" s="4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4" t="n"/>
    </row>
    <row r="79">
      <c r="A79" s="6">
        <f>IF(B79=LISTES!$C$2,A78+1,A78)</f>
        <v/>
      </c>
      <c r="B79" s="7">
        <f>IF(B78=LISTES!$C$2,LISTES!$C$3,LISTES!$C$2)</f>
        <v/>
      </c>
      <c r="C79" s="8" t="n"/>
      <c r="D79" s="8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8" t="n"/>
    </row>
    <row r="80">
      <c r="A80" s="2">
        <f>IF(B80=LISTES!$C$2,A79+1,A79)</f>
        <v/>
      </c>
      <c r="B80" s="3">
        <f>IF(B79=LISTES!$C$2,LISTES!$C$3,LISTES!$C$2)</f>
        <v/>
      </c>
      <c r="C80" s="4" t="n"/>
      <c r="D80" s="4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4" t="n"/>
    </row>
    <row r="81">
      <c r="A81" s="6">
        <f>IF(B81=LISTES!$C$2,A80+1,A80)</f>
        <v/>
      </c>
      <c r="B81" s="7">
        <f>IF(B80=LISTES!$C$2,LISTES!$C$3,LISTES!$C$2)</f>
        <v/>
      </c>
      <c r="C81" s="8" t="n"/>
      <c r="D81" s="8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8" t="n"/>
    </row>
    <row r="82">
      <c r="A82" s="2">
        <f>IF(B82=LISTES!$C$2,A81+1,A81)</f>
        <v/>
      </c>
      <c r="B82" s="3">
        <f>IF(B81=LISTES!$C$2,LISTES!$C$3,LISTES!$C$2)</f>
        <v/>
      </c>
      <c r="C82" s="4" t="n"/>
      <c r="D82" s="4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4" t="n"/>
    </row>
    <row r="83">
      <c r="A83" s="6">
        <f>IF(B83=LISTES!$C$2,A82+1,A82)</f>
        <v/>
      </c>
      <c r="B83" s="7">
        <f>IF(B82=LISTES!$C$2,LISTES!$C$3,LISTES!$C$2)</f>
        <v/>
      </c>
      <c r="C83" s="8" t="n"/>
      <c r="D83" s="8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8" t="n"/>
    </row>
    <row r="84">
      <c r="A84" s="2">
        <f>IF(B84=LISTES!$C$2,A83+1,A83)</f>
        <v/>
      </c>
      <c r="B84" s="3">
        <f>IF(B83=LISTES!$C$2,LISTES!$C$3,LISTES!$C$2)</f>
        <v/>
      </c>
      <c r="C84" s="4" t="n"/>
      <c r="D84" s="4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4" t="n"/>
    </row>
    <row r="85">
      <c r="A85" s="6">
        <f>IF(B85=LISTES!$C$2,A84+1,A84)</f>
        <v/>
      </c>
      <c r="B85" s="7">
        <f>IF(B84=LISTES!$C$2,LISTES!$C$3,LISTES!$C$2)</f>
        <v/>
      </c>
      <c r="C85" s="8" t="n"/>
      <c r="D85" s="8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8" t="n"/>
    </row>
    <row r="86">
      <c r="A86" s="2">
        <f>IF(B86=LISTES!$C$2,A85+1,A85)</f>
        <v/>
      </c>
      <c r="B86" s="3">
        <f>IF(B85=LISTES!$C$2,LISTES!$C$3,LISTES!$C$2)</f>
        <v/>
      </c>
      <c r="C86" s="4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4" t="n"/>
    </row>
    <row r="87">
      <c r="A87" s="6">
        <f>IF(B87=LISTES!$C$2,A86+1,A86)</f>
        <v/>
      </c>
      <c r="B87" s="7">
        <f>IF(B86=LISTES!$C$2,LISTES!$C$3,LISTES!$C$2)</f>
        <v/>
      </c>
      <c r="C87" s="8" t="n"/>
      <c r="D87" s="8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8" t="n"/>
    </row>
    <row r="88">
      <c r="A88" s="2">
        <f>IF(B88=LISTES!$C$2,A87+1,A87)</f>
        <v/>
      </c>
      <c r="B88" s="3">
        <f>IF(B87=LISTES!$C$2,LISTES!$C$3,LISTES!$C$2)</f>
        <v/>
      </c>
      <c r="C88" s="4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4" t="n"/>
    </row>
    <row r="89">
      <c r="A89" s="6">
        <f>IF(B89=LISTES!$C$2,A88+1,A88)</f>
        <v/>
      </c>
      <c r="B89" s="7">
        <f>IF(B88=LISTES!$C$2,LISTES!$C$3,LISTES!$C$2)</f>
        <v/>
      </c>
      <c r="C89" s="8" t="n"/>
      <c r="D89" s="8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8" t="n"/>
    </row>
    <row r="90">
      <c r="A90" s="2">
        <f>IF(B90=LISTES!$C$2,A89+1,A89)</f>
        <v/>
      </c>
      <c r="B90" s="3">
        <f>IF(B89=LISTES!$C$2,LISTES!$C$3,LISTES!$C$2)</f>
        <v/>
      </c>
      <c r="C90" s="4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4" t="n"/>
    </row>
    <row r="91">
      <c r="A91" s="6">
        <f>IF(B91=LISTES!$C$2,A90+1,A90)</f>
        <v/>
      </c>
      <c r="B91" s="7">
        <f>IF(B90=LISTES!$C$2,LISTES!$C$3,LISTES!$C$2)</f>
        <v/>
      </c>
      <c r="C91" s="8" t="n"/>
      <c r="D91" s="8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8" t="n"/>
    </row>
    <row r="92">
      <c r="A92" s="2">
        <f>IF(B92=LISTES!$C$2,A91+1,A91)</f>
        <v/>
      </c>
      <c r="B92" s="3">
        <f>IF(B91=LISTES!$C$2,LISTES!$C$3,LISTES!$C$2)</f>
        <v/>
      </c>
      <c r="C92" s="4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4" t="n"/>
    </row>
    <row r="93">
      <c r="A93" s="6">
        <f>IF(B93=LISTES!$C$2,A92+1,A92)</f>
        <v/>
      </c>
      <c r="B93" s="7">
        <f>IF(B92=LISTES!$C$2,LISTES!$C$3,LISTES!$C$2)</f>
        <v/>
      </c>
      <c r="C93" s="8" t="n"/>
      <c r="D93" s="8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8" t="n"/>
    </row>
    <row r="94">
      <c r="A94" s="2">
        <f>IF(B94=LISTES!$C$2,A93+1,A93)</f>
        <v/>
      </c>
      <c r="B94" s="3">
        <f>IF(B93=LISTES!$C$2,LISTES!$C$3,LISTES!$C$2)</f>
        <v/>
      </c>
      <c r="C94" s="4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4" t="n"/>
    </row>
    <row r="95">
      <c r="A95" s="6">
        <f>IF(B95=LISTES!$C$2,A94+1,A94)</f>
        <v/>
      </c>
      <c r="B95" s="7">
        <f>IF(B94=LISTES!$C$2,LISTES!$C$3,LISTES!$C$2)</f>
        <v/>
      </c>
      <c r="C95" s="8" t="n"/>
      <c r="D95" s="8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8" t="n"/>
    </row>
    <row r="96">
      <c r="A96" s="2">
        <f>IF(B96=LISTES!$C$2,A95+1,A95)</f>
        <v/>
      </c>
      <c r="B96" s="3">
        <f>IF(B95=LISTES!$C$2,LISTES!$C$3,LISTES!$C$2)</f>
        <v/>
      </c>
      <c r="C96" s="4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4" t="n"/>
    </row>
    <row r="97">
      <c r="A97" s="6">
        <f>IF(B97=LISTES!$C$2,A96+1,A96)</f>
        <v/>
      </c>
      <c r="B97" s="7">
        <f>IF(B96=LISTES!$C$2,LISTES!$C$3,LISTES!$C$2)</f>
        <v/>
      </c>
      <c r="C97" s="8" t="n"/>
      <c r="D97" s="8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8" t="n"/>
    </row>
    <row r="98">
      <c r="A98" s="2">
        <f>IF(B98=LISTES!$C$2,A97+1,A97)</f>
        <v/>
      </c>
      <c r="B98" s="3">
        <f>IF(B97=LISTES!$C$2,LISTES!$C$3,LISTES!$C$2)</f>
        <v/>
      </c>
      <c r="C98" s="4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4" t="n"/>
    </row>
    <row r="99">
      <c r="A99" s="6">
        <f>IF(B99=LISTES!$C$2,A98+1,A98)</f>
        <v/>
      </c>
      <c r="B99" s="7">
        <f>IF(B98=LISTES!$C$2,LISTES!$C$3,LISTES!$C$2)</f>
        <v/>
      </c>
      <c r="C99" s="8" t="n"/>
      <c r="D99" s="8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8" t="n"/>
    </row>
    <row r="100">
      <c r="A100" s="2">
        <f>IF(B100=LISTES!$C$2,A99+1,A99)</f>
        <v/>
      </c>
      <c r="B100" s="3">
        <f>IF(B99=LISTES!$C$2,LISTES!$C$3,LISTES!$C$2)</f>
        <v/>
      </c>
      <c r="C100" s="4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4" t="n"/>
    </row>
    <row r="101">
      <c r="A101" s="6">
        <f>IF(B101=LISTES!$C$2,A100+1,A100)</f>
        <v/>
      </c>
      <c r="B101" s="7">
        <f>IF(B100=LISTES!$C$2,LISTES!$C$3,LISTES!$C$2)</f>
        <v/>
      </c>
      <c r="C101" s="8" t="n"/>
      <c r="D101" s="8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8" t="n"/>
    </row>
    <row r="102">
      <c r="A102" s="2">
        <f>IF(B102=LISTES!$C$2,A101+1,A101)</f>
        <v/>
      </c>
      <c r="B102" s="3">
        <f>IF(B101=LISTES!$C$2,LISTES!$C$3,LISTES!$C$2)</f>
        <v/>
      </c>
      <c r="C102" s="4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4" t="n"/>
    </row>
    <row r="103">
      <c r="A103" s="6">
        <f>IF(B103=LISTES!$C$2,A102+1,A102)</f>
        <v/>
      </c>
      <c r="B103" s="7">
        <f>IF(B102=LISTES!$C$2,LISTES!$C$3,LISTES!$C$2)</f>
        <v/>
      </c>
      <c r="C103" s="8" t="n"/>
      <c r="D103" s="8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8" t="n"/>
    </row>
    <row r="104">
      <c r="A104" s="2">
        <f>IF(B104=LISTES!$C$2,A103+1,A103)</f>
        <v/>
      </c>
      <c r="B104" s="3">
        <f>IF(B103=LISTES!$C$2,LISTES!$C$3,LISTES!$C$2)</f>
        <v/>
      </c>
      <c r="C104" s="4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4" t="n"/>
    </row>
    <row r="105">
      <c r="A105" s="6">
        <f>IF(B105=LISTES!$C$2,A104+1,A104)</f>
        <v/>
      </c>
      <c r="B105" s="7">
        <f>IF(B104=LISTES!$C$2,LISTES!$C$3,LISTES!$C$2)</f>
        <v/>
      </c>
      <c r="C105" s="8" t="n"/>
      <c r="D105" s="8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8" t="n"/>
    </row>
    <row r="106">
      <c r="A106" s="2">
        <f>IF(B106=LISTES!$C$2,A105+1,A105)</f>
        <v/>
      </c>
      <c r="B106" s="3">
        <f>IF(B105=LISTES!$C$2,LISTES!$C$3,LISTES!$C$2)</f>
        <v/>
      </c>
      <c r="C106" s="4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4" t="n"/>
    </row>
    <row r="107">
      <c r="A107" s="6">
        <f>IF(B107=LISTES!$C$2,A106+1,A106)</f>
        <v/>
      </c>
      <c r="B107" s="7">
        <f>IF(B106=LISTES!$C$2,LISTES!$C$3,LISTES!$C$2)</f>
        <v/>
      </c>
      <c r="C107" s="8" t="n"/>
      <c r="D107" s="8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8" t="n"/>
    </row>
    <row r="108">
      <c r="A108" s="2">
        <f>IF(B108=LISTES!$C$2,A107+1,A107)</f>
        <v/>
      </c>
      <c r="B108" s="3">
        <f>IF(B107=LISTES!$C$2,LISTES!$C$3,LISTES!$C$2)</f>
        <v/>
      </c>
      <c r="C108" s="4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4" t="n"/>
    </row>
    <row r="109">
      <c r="A109" s="6">
        <f>IF(B109=LISTES!$C$2,A108+1,A108)</f>
        <v/>
      </c>
      <c r="B109" s="7">
        <f>IF(B108=LISTES!$C$2,LISTES!$C$3,LISTES!$C$2)</f>
        <v/>
      </c>
      <c r="C109" s="8" t="n"/>
      <c r="D109" s="8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8" t="n"/>
    </row>
    <row r="110">
      <c r="A110" s="2">
        <f>IF(B110=LISTES!$C$2,A109+1,A109)</f>
        <v/>
      </c>
      <c r="B110" s="3">
        <f>IF(B109=LISTES!$C$2,LISTES!$C$3,LISTES!$C$2)</f>
        <v/>
      </c>
      <c r="C110" s="4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4" t="n"/>
    </row>
    <row r="111">
      <c r="A111" s="6">
        <f>IF(B111=LISTES!$C$2,A110+1,A110)</f>
        <v/>
      </c>
      <c r="B111" s="7">
        <f>IF(B110=LISTES!$C$2,LISTES!$C$3,LISTES!$C$2)</f>
        <v/>
      </c>
      <c r="C111" s="8" t="n"/>
      <c r="D111" s="8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8" t="n"/>
    </row>
    <row r="112">
      <c r="A112" s="2">
        <f>IF(B112=LISTES!$C$2,A111+1,A111)</f>
        <v/>
      </c>
      <c r="B112" s="3">
        <f>IF(B111=LISTES!$C$2,LISTES!$C$3,LISTES!$C$2)</f>
        <v/>
      </c>
      <c r="C112" s="4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4" t="n"/>
    </row>
    <row r="113">
      <c r="A113" s="6">
        <f>IF(B113=LISTES!$C$2,A112+1,A112)</f>
        <v/>
      </c>
      <c r="B113" s="7">
        <f>IF(B112=LISTES!$C$2,LISTES!$C$3,LISTES!$C$2)</f>
        <v/>
      </c>
      <c r="C113" s="8" t="n"/>
      <c r="D113" s="8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8" t="n"/>
    </row>
    <row r="114">
      <c r="A114" s="2">
        <f>IF(B114=LISTES!$C$2,A113+1,A113)</f>
        <v/>
      </c>
      <c r="B114" s="3">
        <f>IF(B113=LISTES!$C$2,LISTES!$C$3,LISTES!$C$2)</f>
        <v/>
      </c>
      <c r="C114" s="4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4" t="n"/>
    </row>
    <row r="115">
      <c r="A115" s="6">
        <f>IF(B115=LISTES!$C$2,A114+1,A114)</f>
        <v/>
      </c>
      <c r="B115" s="7">
        <f>IF(B114=LISTES!$C$2,LISTES!$C$3,LISTES!$C$2)</f>
        <v/>
      </c>
      <c r="C115" s="8" t="n"/>
      <c r="D115" s="8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8" t="n"/>
    </row>
    <row r="116">
      <c r="A116" s="2">
        <f>IF(B116=LISTES!$C$2,A115+1,A115)</f>
        <v/>
      </c>
      <c r="B116" s="3">
        <f>IF(B115=LISTES!$C$2,LISTES!$C$3,LISTES!$C$2)</f>
        <v/>
      </c>
      <c r="C116" s="4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4" t="n"/>
    </row>
    <row r="117">
      <c r="A117" s="6">
        <f>IF(B117=LISTES!$C$2,A116+1,A116)</f>
        <v/>
      </c>
      <c r="B117" s="7">
        <f>IF(B116=LISTES!$C$2,LISTES!$C$3,LISTES!$C$2)</f>
        <v/>
      </c>
      <c r="C117" s="8" t="n"/>
      <c r="D117" s="8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8" t="n"/>
    </row>
    <row r="118">
      <c r="A118" s="2">
        <f>IF(B118=LISTES!$C$2,A117+1,A117)</f>
        <v/>
      </c>
      <c r="B118" s="3">
        <f>IF(B117=LISTES!$C$2,LISTES!$C$3,LISTES!$C$2)</f>
        <v/>
      </c>
      <c r="C118" s="4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4" t="n"/>
    </row>
    <row r="119">
      <c r="A119" s="6">
        <f>IF(B119=LISTES!$C$2,A118+1,A118)</f>
        <v/>
      </c>
      <c r="B119" s="7">
        <f>IF(B118=LISTES!$C$2,LISTES!$C$3,LISTES!$C$2)</f>
        <v/>
      </c>
      <c r="C119" s="8" t="n"/>
      <c r="D119" s="8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8" t="n"/>
    </row>
    <row r="120">
      <c r="A120" s="2">
        <f>IF(B120=LISTES!$C$2,A119+1,A119)</f>
        <v/>
      </c>
      <c r="B120" s="3">
        <f>IF(B119=LISTES!$C$2,LISTES!$C$3,LISTES!$C$2)</f>
        <v/>
      </c>
      <c r="C120" s="4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4" t="n"/>
    </row>
    <row r="121">
      <c r="A121" s="6">
        <f>IF(B121=LISTES!$C$2,A120+1,A120)</f>
        <v/>
      </c>
      <c r="B121" s="7">
        <f>IF(B120=LISTES!$C$2,LISTES!$C$3,LISTES!$C$2)</f>
        <v/>
      </c>
      <c r="C121" s="8" t="n"/>
      <c r="D121" s="8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8" t="n"/>
    </row>
    <row r="122">
      <c r="A122" s="2">
        <f>IF(B122=LISTES!$C$2,A121+1,A121)</f>
        <v/>
      </c>
      <c r="B122" s="3">
        <f>IF(B121=LISTES!$C$2,LISTES!$C$3,LISTES!$C$2)</f>
        <v/>
      </c>
      <c r="C122" s="4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4" t="n"/>
    </row>
    <row r="123">
      <c r="A123" s="6">
        <f>IF(B123=LISTES!$C$2,A122+1,A122)</f>
        <v/>
      </c>
      <c r="B123" s="7">
        <f>IF(B122=LISTES!$C$2,LISTES!$C$3,LISTES!$C$2)</f>
        <v/>
      </c>
      <c r="C123" s="8" t="n"/>
      <c r="D123" s="8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8" t="n"/>
    </row>
    <row r="124">
      <c r="A124" s="2">
        <f>IF(B124=LISTES!$C$2,A123+1,A123)</f>
        <v/>
      </c>
      <c r="B124" s="3">
        <f>IF(B123=LISTES!$C$2,LISTES!$C$3,LISTES!$C$2)</f>
        <v/>
      </c>
      <c r="C124" s="4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4" t="n"/>
    </row>
    <row r="125">
      <c r="A125" s="6">
        <f>IF(B125=LISTES!$C$2,A124+1,A124)</f>
        <v/>
      </c>
      <c r="B125" s="7">
        <f>IF(B124=LISTES!$C$2,LISTES!$C$3,LISTES!$C$2)</f>
        <v/>
      </c>
      <c r="C125" s="8" t="n"/>
      <c r="D125" s="8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8" t="n"/>
    </row>
    <row r="126">
      <c r="A126" s="2">
        <f>IF(B126=LISTES!$C$2,A125+1,A125)</f>
        <v/>
      </c>
      <c r="B126" s="3">
        <f>IF(B125=LISTES!$C$2,LISTES!$C$3,LISTES!$C$2)</f>
        <v/>
      </c>
      <c r="C126" s="4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4" t="n"/>
    </row>
    <row r="127">
      <c r="A127" s="6">
        <f>IF(B127=LISTES!$C$2,A126+1,A126)</f>
        <v/>
      </c>
      <c r="B127" s="7">
        <f>IF(B126=LISTES!$C$2,LISTES!$C$3,LISTES!$C$2)</f>
        <v/>
      </c>
      <c r="C127" s="8" t="n"/>
      <c r="D127" s="8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8" t="n"/>
    </row>
    <row r="128">
      <c r="A128" s="2">
        <f>IF(B128=LISTES!$C$2,A127+1,A127)</f>
        <v/>
      </c>
      <c r="B128" s="3">
        <f>IF(B127=LISTES!$C$2,LISTES!$C$3,LISTES!$C$2)</f>
        <v/>
      </c>
      <c r="C128" s="4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4" t="n"/>
    </row>
    <row r="129">
      <c r="A129" s="6">
        <f>IF(B129=LISTES!$C$2,A128+1,A128)</f>
        <v/>
      </c>
      <c r="B129" s="7">
        <f>IF(B128=LISTES!$C$2,LISTES!$C$3,LISTES!$C$2)</f>
        <v/>
      </c>
      <c r="C129" s="8" t="n"/>
      <c r="D129" s="8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8" t="n"/>
    </row>
    <row r="130">
      <c r="A130" s="2">
        <f>IF(B130=LISTES!$C$2,A129+1,A129)</f>
        <v/>
      </c>
      <c r="B130" s="3">
        <f>IF(B129=LISTES!$C$2,LISTES!$C$3,LISTES!$C$2)</f>
        <v/>
      </c>
      <c r="C130" s="4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4" t="n"/>
    </row>
    <row r="131">
      <c r="A131" s="6">
        <f>IF(B131=LISTES!$C$2,A130+1,A130)</f>
        <v/>
      </c>
      <c r="B131" s="7">
        <f>IF(B130=LISTES!$C$2,LISTES!$C$3,LISTES!$C$2)</f>
        <v/>
      </c>
      <c r="C131" s="8" t="n"/>
      <c r="D131" s="8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8" t="n"/>
    </row>
    <row r="132">
      <c r="A132" s="2">
        <f>IF(B132=LISTES!$C$2,A131+1,A131)</f>
        <v/>
      </c>
      <c r="B132" s="3">
        <f>IF(B131=LISTES!$C$2,LISTES!$C$3,LISTES!$C$2)</f>
        <v/>
      </c>
      <c r="C132" s="4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4" t="n"/>
    </row>
    <row r="133">
      <c r="A133" s="6">
        <f>IF(B133=LISTES!$C$2,A132+1,A132)</f>
        <v/>
      </c>
      <c r="B133" s="7">
        <f>IF(B132=LISTES!$C$2,LISTES!$C$3,LISTES!$C$2)</f>
        <v/>
      </c>
      <c r="C133" s="8" t="n"/>
      <c r="D133" s="8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8" t="n"/>
    </row>
    <row r="134">
      <c r="A134" s="2">
        <f>IF(B134=LISTES!$C$2,A133+1,A133)</f>
        <v/>
      </c>
      <c r="B134" s="3">
        <f>IF(B133=LISTES!$C$2,LISTES!$C$3,LISTES!$C$2)</f>
        <v/>
      </c>
      <c r="C134" s="4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4" t="n"/>
    </row>
    <row r="135">
      <c r="A135" s="6">
        <f>IF(B135=LISTES!$C$2,A134+1,A134)</f>
        <v/>
      </c>
      <c r="B135" s="7">
        <f>IF(B134=LISTES!$C$2,LISTES!$C$3,LISTES!$C$2)</f>
        <v/>
      </c>
      <c r="C135" s="8" t="n"/>
      <c r="D135" s="8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8" t="n"/>
    </row>
    <row r="136">
      <c r="A136" s="2">
        <f>IF(B136=LISTES!$C$2,A135+1,A135)</f>
        <v/>
      </c>
      <c r="B136" s="3">
        <f>IF(B135=LISTES!$C$2,LISTES!$C$3,LISTES!$C$2)</f>
        <v/>
      </c>
      <c r="C136" s="4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4" t="n"/>
    </row>
    <row r="137">
      <c r="A137" s="6">
        <f>IF(B137=LISTES!$C$2,A136+1,A136)</f>
        <v/>
      </c>
      <c r="B137" s="7">
        <f>IF(B136=LISTES!$C$2,LISTES!$C$3,LISTES!$C$2)</f>
        <v/>
      </c>
      <c r="C137" s="8" t="n"/>
      <c r="D137" s="8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8" t="n"/>
    </row>
    <row r="138">
      <c r="A138" s="2">
        <f>IF(B138=LISTES!$C$2,A137+1,A137)</f>
        <v/>
      </c>
      <c r="B138" s="3">
        <f>IF(B137=LISTES!$C$2,LISTES!$C$3,LISTES!$C$2)</f>
        <v/>
      </c>
      <c r="C138" s="4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4" t="n"/>
    </row>
    <row r="139">
      <c r="A139" s="6">
        <f>IF(B139=LISTES!$C$2,A138+1,A138)</f>
        <v/>
      </c>
      <c r="B139" s="7">
        <f>IF(B138=LISTES!$C$2,LISTES!$C$3,LISTES!$C$2)</f>
        <v/>
      </c>
      <c r="C139" s="8" t="n"/>
      <c r="D139" s="8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8" t="n"/>
    </row>
    <row r="140">
      <c r="A140" s="2">
        <f>IF(B140=LISTES!$C$2,A139+1,A139)</f>
        <v/>
      </c>
      <c r="B140" s="3">
        <f>IF(B139=LISTES!$C$2,LISTES!$C$3,LISTES!$C$2)</f>
        <v/>
      </c>
      <c r="C140" s="4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4" t="n"/>
    </row>
    <row r="141">
      <c r="A141" s="6">
        <f>IF(B141=LISTES!$C$2,A140+1,A140)</f>
        <v/>
      </c>
      <c r="B141" s="7">
        <f>IF(B140=LISTES!$C$2,LISTES!$C$3,LISTES!$C$2)</f>
        <v/>
      </c>
      <c r="C141" s="8" t="n"/>
      <c r="D141" s="8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8" t="n"/>
    </row>
    <row r="142">
      <c r="A142" s="2">
        <f>IF(B142=LISTES!$C$2,A141+1,A141)</f>
        <v/>
      </c>
      <c r="B142" s="3">
        <f>IF(B141=LISTES!$C$2,LISTES!$C$3,LISTES!$C$2)</f>
        <v/>
      </c>
      <c r="C142" s="4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4" t="n"/>
    </row>
    <row r="143">
      <c r="A143" s="6">
        <f>IF(B143=LISTES!$C$2,A142+1,A142)</f>
        <v/>
      </c>
      <c r="B143" s="7">
        <f>IF(B142=LISTES!$C$2,LISTES!$C$3,LISTES!$C$2)</f>
        <v/>
      </c>
      <c r="C143" s="8" t="n"/>
      <c r="D143" s="8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8" t="n"/>
    </row>
    <row r="144">
      <c r="A144" s="2">
        <f>IF(B144=LISTES!$C$2,A143+1,A143)</f>
        <v/>
      </c>
      <c r="B144" s="3">
        <f>IF(B143=LISTES!$C$2,LISTES!$C$3,LISTES!$C$2)</f>
        <v/>
      </c>
      <c r="C144" s="4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4" t="n"/>
    </row>
    <row r="145">
      <c r="A145" s="6">
        <f>IF(B145=LISTES!$C$2,A144+1,A144)</f>
        <v/>
      </c>
      <c r="B145" s="7">
        <f>IF(B144=LISTES!$C$2,LISTES!$C$3,LISTES!$C$2)</f>
        <v/>
      </c>
      <c r="C145" s="8" t="n"/>
      <c r="D145" s="8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8" t="n"/>
    </row>
    <row r="146">
      <c r="A146" s="2">
        <f>IF(B146=LISTES!$C$2,A145+1,A145)</f>
        <v/>
      </c>
      <c r="B146" s="3">
        <f>IF(B145=LISTES!$C$2,LISTES!$C$3,LISTES!$C$2)</f>
        <v/>
      </c>
      <c r="C146" s="4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4" t="n"/>
    </row>
    <row r="147">
      <c r="A147" s="6">
        <f>IF(B147=LISTES!$C$2,A146+1,A146)</f>
        <v/>
      </c>
      <c r="B147" s="7">
        <f>IF(B146=LISTES!$C$2,LISTES!$C$3,LISTES!$C$2)</f>
        <v/>
      </c>
      <c r="C147" s="8" t="n"/>
      <c r="D147" s="8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8" t="n"/>
    </row>
    <row r="148">
      <c r="A148" s="2">
        <f>IF(B148=LISTES!$C$2,A147+1,A147)</f>
        <v/>
      </c>
      <c r="B148" s="3">
        <f>IF(B147=LISTES!$C$2,LISTES!$C$3,LISTES!$C$2)</f>
        <v/>
      </c>
      <c r="C148" s="4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4" t="n"/>
    </row>
    <row r="149">
      <c r="A149" s="6">
        <f>IF(B149=LISTES!$C$2,A148+1,A148)</f>
        <v/>
      </c>
      <c r="B149" s="7">
        <f>IF(B148=LISTES!$C$2,LISTES!$C$3,LISTES!$C$2)</f>
        <v/>
      </c>
      <c r="C149" s="8" t="n"/>
      <c r="D149" s="8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8" t="n"/>
    </row>
    <row r="150">
      <c r="A150" s="2">
        <f>IF(B150=LISTES!$C$2,A149+1,A149)</f>
        <v/>
      </c>
      <c r="B150" s="3">
        <f>IF(B149=LISTES!$C$2,LISTES!$C$3,LISTES!$C$2)</f>
        <v/>
      </c>
      <c r="C150" s="4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4" t="n"/>
    </row>
    <row r="151">
      <c r="A151" s="6">
        <f>IF(B151=LISTES!$C$2,A150+1,A150)</f>
        <v/>
      </c>
      <c r="B151" s="7">
        <f>IF(B150=LISTES!$C$2,LISTES!$C$3,LISTES!$C$2)</f>
        <v/>
      </c>
      <c r="C151" s="8" t="n"/>
      <c r="D151" s="8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8" t="n"/>
    </row>
    <row r="152">
      <c r="A152" s="2">
        <f>IF(B152=LISTES!$C$2,A151+1,A151)</f>
        <v/>
      </c>
      <c r="B152" s="3">
        <f>IF(B151=LISTES!$C$2,LISTES!$C$3,LISTES!$C$2)</f>
        <v/>
      </c>
      <c r="C152" s="4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4" t="n"/>
    </row>
    <row r="153">
      <c r="A153" s="6">
        <f>IF(B153=LISTES!$C$2,A152+1,A152)</f>
        <v/>
      </c>
      <c r="B153" s="7">
        <f>IF(B152=LISTES!$C$2,LISTES!$C$3,LISTES!$C$2)</f>
        <v/>
      </c>
      <c r="C153" s="8" t="n"/>
      <c r="D153" s="8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8" t="n"/>
    </row>
    <row r="154">
      <c r="A154" s="2">
        <f>IF(B154=LISTES!$C$2,A153+1,A153)</f>
        <v/>
      </c>
      <c r="B154" s="3">
        <f>IF(B153=LISTES!$C$2,LISTES!$C$3,LISTES!$C$2)</f>
        <v/>
      </c>
      <c r="C154" s="4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4" t="n"/>
    </row>
    <row r="155">
      <c r="A155" s="6">
        <f>IF(B155=LISTES!$C$2,A154+1,A154)</f>
        <v/>
      </c>
      <c r="B155" s="7">
        <f>IF(B154=LISTES!$C$2,LISTES!$C$3,LISTES!$C$2)</f>
        <v/>
      </c>
      <c r="C155" s="8" t="n"/>
      <c r="D155" s="8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8" t="n"/>
    </row>
    <row r="156">
      <c r="A156" s="2">
        <f>IF(B156=LISTES!$C$2,A155+1,A155)</f>
        <v/>
      </c>
      <c r="B156" s="3">
        <f>IF(B155=LISTES!$C$2,LISTES!$C$3,LISTES!$C$2)</f>
        <v/>
      </c>
      <c r="C156" s="4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4" t="n"/>
    </row>
    <row r="157">
      <c r="A157" s="6">
        <f>IF(B157=LISTES!$C$2,A156+1,A156)</f>
        <v/>
      </c>
      <c r="B157" s="7">
        <f>IF(B156=LISTES!$C$2,LISTES!$C$3,LISTES!$C$2)</f>
        <v/>
      </c>
      <c r="C157" s="8" t="n"/>
      <c r="D157" s="8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8" t="n"/>
    </row>
    <row r="158">
      <c r="A158" s="2">
        <f>IF(B158=LISTES!$C$2,A157+1,A157)</f>
        <v/>
      </c>
      <c r="B158" s="3">
        <f>IF(B157=LISTES!$C$2,LISTES!$C$3,LISTES!$C$2)</f>
        <v/>
      </c>
      <c r="C158" s="4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4" t="n"/>
    </row>
    <row r="159">
      <c r="A159" s="6">
        <f>IF(B159=LISTES!$C$2,A158+1,A158)</f>
        <v/>
      </c>
      <c r="B159" s="7">
        <f>IF(B158=LISTES!$C$2,LISTES!$C$3,LISTES!$C$2)</f>
        <v/>
      </c>
      <c r="C159" s="8" t="n"/>
      <c r="D159" s="8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8" t="n"/>
    </row>
    <row r="160">
      <c r="A160" s="2">
        <f>IF(B160=LISTES!$C$2,A159+1,A159)</f>
        <v/>
      </c>
      <c r="B160" s="3">
        <f>IF(B159=LISTES!$C$2,LISTES!$C$3,LISTES!$C$2)</f>
        <v/>
      </c>
      <c r="C160" s="4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4" t="n"/>
    </row>
    <row r="161">
      <c r="A161" s="6">
        <f>IF(B161=LISTES!$C$2,A160+1,A160)</f>
        <v/>
      </c>
      <c r="B161" s="7">
        <f>IF(B160=LISTES!$C$2,LISTES!$C$3,LISTES!$C$2)</f>
        <v/>
      </c>
      <c r="C161" s="8" t="n"/>
      <c r="D161" s="8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8" t="n"/>
    </row>
    <row r="162">
      <c r="A162" s="2">
        <f>IF(B162=LISTES!$C$2,A161+1,A161)</f>
        <v/>
      </c>
      <c r="B162" s="3">
        <f>IF(B161=LISTES!$C$2,LISTES!$C$3,LISTES!$C$2)</f>
        <v/>
      </c>
      <c r="C162" s="4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4" t="n"/>
    </row>
    <row r="163">
      <c r="A163" s="6">
        <f>IF(B163=LISTES!$C$2,A162+1,A162)</f>
        <v/>
      </c>
      <c r="B163" s="7">
        <f>IF(B162=LISTES!$C$2,LISTES!$C$3,LISTES!$C$2)</f>
        <v/>
      </c>
      <c r="C163" s="8" t="n"/>
      <c r="D163" s="8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8" t="n"/>
    </row>
    <row r="164">
      <c r="A164" s="2">
        <f>IF(B164=LISTES!$C$2,A163+1,A163)</f>
        <v/>
      </c>
      <c r="B164" s="3">
        <f>IF(B163=LISTES!$C$2,LISTES!$C$3,LISTES!$C$2)</f>
        <v/>
      </c>
      <c r="C164" s="4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4" t="n"/>
    </row>
    <row r="165">
      <c r="A165" s="6">
        <f>IF(B165=LISTES!$C$2,A164+1,A164)</f>
        <v/>
      </c>
      <c r="B165" s="7">
        <f>IF(B164=LISTES!$C$2,LISTES!$C$3,LISTES!$C$2)</f>
        <v/>
      </c>
      <c r="C165" s="8" t="n"/>
      <c r="D165" s="8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8" t="n"/>
    </row>
    <row r="166">
      <c r="A166" s="2">
        <f>IF(B166=LISTES!$C$2,A165+1,A165)</f>
        <v/>
      </c>
      <c r="B166" s="3">
        <f>IF(B165=LISTES!$C$2,LISTES!$C$3,LISTES!$C$2)</f>
        <v/>
      </c>
      <c r="C166" s="4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4" t="n"/>
    </row>
    <row r="167">
      <c r="A167" s="6">
        <f>IF(B167=LISTES!$C$2,A166+1,A166)</f>
        <v/>
      </c>
      <c r="B167" s="7">
        <f>IF(B166=LISTES!$C$2,LISTES!$C$3,LISTES!$C$2)</f>
        <v/>
      </c>
      <c r="C167" s="8" t="n"/>
      <c r="D167" s="8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8" t="n"/>
    </row>
    <row r="168">
      <c r="A168" s="2">
        <f>IF(B168=LISTES!$C$2,A167+1,A167)</f>
        <v/>
      </c>
      <c r="B168" s="3">
        <f>IF(B167=LISTES!$C$2,LISTES!$C$3,LISTES!$C$2)</f>
        <v/>
      </c>
      <c r="C168" s="4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4" t="n"/>
    </row>
    <row r="169">
      <c r="A169" s="6">
        <f>IF(B169=LISTES!$C$2,A168+1,A168)</f>
        <v/>
      </c>
      <c r="B169" s="7">
        <f>IF(B168=LISTES!$C$2,LISTES!$C$3,LISTES!$C$2)</f>
        <v/>
      </c>
      <c r="C169" s="8" t="n"/>
      <c r="D169" s="8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8" t="n"/>
    </row>
    <row r="170">
      <c r="A170" s="2">
        <f>IF(B170=LISTES!$C$2,A169+1,A169)</f>
        <v/>
      </c>
      <c r="B170" s="3">
        <f>IF(B169=LISTES!$C$2,LISTES!$C$3,LISTES!$C$2)</f>
        <v/>
      </c>
      <c r="C170" s="4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4" t="n"/>
    </row>
    <row r="171">
      <c r="A171" s="6">
        <f>IF(B171=LISTES!$C$2,A170+1,A170)</f>
        <v/>
      </c>
      <c r="B171" s="7">
        <f>IF(B170=LISTES!$C$2,LISTES!$C$3,LISTES!$C$2)</f>
        <v/>
      </c>
      <c r="C171" s="8" t="n"/>
      <c r="D171" s="8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8" t="n"/>
    </row>
    <row r="172">
      <c r="A172" s="2">
        <f>IF(B172=LISTES!$C$2,A171+1,A171)</f>
        <v/>
      </c>
      <c r="B172" s="3">
        <f>IF(B171=LISTES!$C$2,LISTES!$C$3,LISTES!$C$2)</f>
        <v/>
      </c>
      <c r="C172" s="4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4" t="n"/>
    </row>
    <row r="173">
      <c r="A173" s="6">
        <f>IF(B173=LISTES!$C$2,A172+1,A172)</f>
        <v/>
      </c>
      <c r="B173" s="7">
        <f>IF(B172=LISTES!$C$2,LISTES!$C$3,LISTES!$C$2)</f>
        <v/>
      </c>
      <c r="C173" s="8" t="n"/>
      <c r="D173" s="8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8" t="n"/>
    </row>
    <row r="174">
      <c r="A174" s="2">
        <f>IF(B174=LISTES!$C$2,A173+1,A173)</f>
        <v/>
      </c>
      <c r="B174" s="3">
        <f>IF(B173=LISTES!$C$2,LISTES!$C$3,LISTES!$C$2)</f>
        <v/>
      </c>
      <c r="C174" s="4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4" t="n"/>
    </row>
    <row r="175">
      <c r="A175" s="6">
        <f>IF(B175=LISTES!$C$2,A174+1,A174)</f>
        <v/>
      </c>
      <c r="B175" s="7">
        <f>IF(B174=LISTES!$C$2,LISTES!$C$3,LISTES!$C$2)</f>
        <v/>
      </c>
      <c r="C175" s="8" t="n"/>
      <c r="D175" s="8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8" t="n"/>
    </row>
    <row r="176">
      <c r="A176" s="2">
        <f>IF(B176=LISTES!$C$2,A175+1,A175)</f>
        <v/>
      </c>
      <c r="B176" s="3">
        <f>IF(B175=LISTES!$C$2,LISTES!$C$3,LISTES!$C$2)</f>
        <v/>
      </c>
      <c r="C176" s="4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4" t="n"/>
    </row>
    <row r="177">
      <c r="A177" s="6">
        <f>IF(B177=LISTES!$C$2,A176+1,A176)</f>
        <v/>
      </c>
      <c r="B177" s="7">
        <f>IF(B176=LISTES!$C$2,LISTES!$C$3,LISTES!$C$2)</f>
        <v/>
      </c>
      <c r="C177" s="8" t="n"/>
      <c r="D177" s="8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8" t="n"/>
    </row>
    <row r="178">
      <c r="A178" s="2">
        <f>IF(B178=LISTES!$C$2,A177+1,A177)</f>
        <v/>
      </c>
      <c r="B178" s="3">
        <f>IF(B177=LISTES!$C$2,LISTES!$C$3,LISTES!$C$2)</f>
        <v/>
      </c>
      <c r="C178" s="4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4" t="n"/>
    </row>
    <row r="179">
      <c r="A179" s="6">
        <f>IF(B179=LISTES!$C$2,A178+1,A178)</f>
        <v/>
      </c>
      <c r="B179" s="7">
        <f>IF(B178=LISTES!$C$2,LISTES!$C$3,LISTES!$C$2)</f>
        <v/>
      </c>
      <c r="C179" s="8" t="n"/>
      <c r="D179" s="8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8" t="n"/>
    </row>
    <row r="180">
      <c r="A180" s="2">
        <f>IF(B180=LISTES!$C$2,A179+1,A179)</f>
        <v/>
      </c>
      <c r="B180" s="3">
        <f>IF(B179=LISTES!$C$2,LISTES!$C$3,LISTES!$C$2)</f>
        <v/>
      </c>
      <c r="C180" s="4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4" t="n"/>
    </row>
    <row r="181">
      <c r="A181" s="6">
        <f>IF(B181=LISTES!$C$2,A180+1,A180)</f>
        <v/>
      </c>
      <c r="B181" s="7">
        <f>IF(B180=LISTES!$C$2,LISTES!$C$3,LISTES!$C$2)</f>
        <v/>
      </c>
      <c r="C181" s="8" t="n"/>
      <c r="D181" s="8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8" t="n"/>
    </row>
    <row r="182">
      <c r="A182" s="2">
        <f>IF(B182=LISTES!$C$2,A181+1,A181)</f>
        <v/>
      </c>
      <c r="B182" s="3">
        <f>IF(B181=LISTES!$C$2,LISTES!$C$3,LISTES!$C$2)</f>
        <v/>
      </c>
      <c r="C182" s="4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4" t="n"/>
    </row>
    <row r="183">
      <c r="A183" s="6">
        <f>IF(B183=LISTES!$C$2,A182+1,A182)</f>
        <v/>
      </c>
      <c r="B183" s="7">
        <f>IF(B182=LISTES!$C$2,LISTES!$C$3,LISTES!$C$2)</f>
        <v/>
      </c>
      <c r="C183" s="8" t="n"/>
      <c r="D183" s="8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8" t="n"/>
    </row>
    <row r="184">
      <c r="A184" s="2">
        <f>IF(B184=LISTES!$C$2,A183+1,A183)</f>
        <v/>
      </c>
      <c r="B184" s="3">
        <f>IF(B183=LISTES!$C$2,LISTES!$C$3,LISTES!$C$2)</f>
        <v/>
      </c>
      <c r="C184" s="4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4" t="n"/>
    </row>
    <row r="185">
      <c r="A185" s="6">
        <f>IF(B185=LISTES!$C$2,A184+1,A184)</f>
        <v/>
      </c>
      <c r="B185" s="7">
        <f>IF(B184=LISTES!$C$2,LISTES!$C$3,LISTES!$C$2)</f>
        <v/>
      </c>
      <c r="C185" s="8" t="n"/>
      <c r="D185" s="8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8" t="n"/>
    </row>
    <row r="186">
      <c r="A186" s="2">
        <f>IF(B186=LISTES!$C$2,A185+1,A185)</f>
        <v/>
      </c>
      <c r="B186" s="3">
        <f>IF(B185=LISTES!$C$2,LISTES!$C$3,LISTES!$C$2)</f>
        <v/>
      </c>
      <c r="C186" s="4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4" t="n"/>
    </row>
    <row r="187">
      <c r="A187" s="6">
        <f>IF(B187=LISTES!$C$2,A186+1,A186)</f>
        <v/>
      </c>
      <c r="B187" s="7">
        <f>IF(B186=LISTES!$C$2,LISTES!$C$3,LISTES!$C$2)</f>
        <v/>
      </c>
      <c r="C187" s="8" t="n"/>
      <c r="D187" s="8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8" t="n"/>
    </row>
    <row r="188">
      <c r="A188" s="2">
        <f>IF(B188=LISTES!$C$2,A187+1,A187)</f>
        <v/>
      </c>
      <c r="B188" s="3">
        <f>IF(B187=LISTES!$C$2,LISTES!$C$3,LISTES!$C$2)</f>
        <v/>
      </c>
      <c r="C188" s="4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4" t="n"/>
    </row>
    <row r="189">
      <c r="A189" s="6">
        <f>IF(B189=LISTES!$C$2,A188+1,A188)</f>
        <v/>
      </c>
      <c r="B189" s="7">
        <f>IF(B188=LISTES!$C$2,LISTES!$C$3,LISTES!$C$2)</f>
        <v/>
      </c>
      <c r="C189" s="8" t="n"/>
      <c r="D189" s="8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8" t="n"/>
    </row>
    <row r="190">
      <c r="A190" s="2">
        <f>IF(B190=LISTES!$C$2,A189+1,A189)</f>
        <v/>
      </c>
      <c r="B190" s="3">
        <f>IF(B189=LISTES!$C$2,LISTES!$C$3,LISTES!$C$2)</f>
        <v/>
      </c>
      <c r="C190" s="4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4" t="n"/>
    </row>
    <row r="191">
      <c r="A191" s="6">
        <f>IF(B191=LISTES!$C$2,A190+1,A190)</f>
        <v/>
      </c>
      <c r="B191" s="7">
        <f>IF(B190=LISTES!$C$2,LISTES!$C$3,LISTES!$C$2)</f>
        <v/>
      </c>
      <c r="C191" s="8" t="n"/>
      <c r="D191" s="8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8" t="n"/>
    </row>
    <row r="192">
      <c r="A192" s="2">
        <f>IF(B192=LISTES!$C$2,A191+1,A191)</f>
        <v/>
      </c>
      <c r="B192" s="3">
        <f>IF(B191=LISTES!$C$2,LISTES!$C$3,LISTES!$C$2)</f>
        <v/>
      </c>
      <c r="C192" s="4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4" t="n"/>
    </row>
    <row r="193">
      <c r="A193" s="6">
        <f>IF(B193=LISTES!$C$2,A192+1,A192)</f>
        <v/>
      </c>
      <c r="B193" s="7">
        <f>IF(B192=LISTES!$C$2,LISTES!$C$3,LISTES!$C$2)</f>
        <v/>
      </c>
      <c r="C193" s="8" t="n"/>
      <c r="D193" s="8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8" t="n"/>
    </row>
    <row r="194">
      <c r="A194" s="2">
        <f>IF(B194=LISTES!$C$2,A193+1,A193)</f>
        <v/>
      </c>
      <c r="B194" s="3">
        <f>IF(B193=LISTES!$C$2,LISTES!$C$3,LISTES!$C$2)</f>
        <v/>
      </c>
      <c r="C194" s="4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4" t="n"/>
    </row>
    <row r="195">
      <c r="A195" s="6">
        <f>IF(B195=LISTES!$C$2,A194+1,A194)</f>
        <v/>
      </c>
      <c r="B195" s="7">
        <f>IF(B194=LISTES!$C$2,LISTES!$C$3,LISTES!$C$2)</f>
        <v/>
      </c>
      <c r="C195" s="8" t="n"/>
      <c r="D195" s="8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8" t="n"/>
    </row>
    <row r="196">
      <c r="A196" s="2">
        <f>IF(B196=LISTES!$C$2,A195+1,A195)</f>
        <v/>
      </c>
      <c r="B196" s="3">
        <f>IF(B195=LISTES!$C$2,LISTES!$C$3,LISTES!$C$2)</f>
        <v/>
      </c>
      <c r="C196" s="4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4" t="n"/>
    </row>
    <row r="197">
      <c r="A197" s="6">
        <f>IF(B197=LISTES!$C$2,A196+1,A196)</f>
        <v/>
      </c>
      <c r="B197" s="7">
        <f>IF(B196=LISTES!$C$2,LISTES!$C$3,LISTES!$C$2)</f>
        <v/>
      </c>
      <c r="C197" s="8" t="n"/>
      <c r="D197" s="8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8" t="n"/>
    </row>
    <row r="198">
      <c r="A198" s="2">
        <f>IF(B198=LISTES!$C$2,A197+1,A197)</f>
        <v/>
      </c>
      <c r="B198" s="3">
        <f>IF(B197=LISTES!$C$2,LISTES!$C$3,LISTES!$C$2)</f>
        <v/>
      </c>
      <c r="C198" s="4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4" t="n"/>
    </row>
    <row r="199">
      <c r="A199" s="6">
        <f>IF(B199=LISTES!$C$2,A198+1,A198)</f>
        <v/>
      </c>
      <c r="B199" s="7">
        <f>IF(B198=LISTES!$C$2,LISTES!$C$3,LISTES!$C$2)</f>
        <v/>
      </c>
      <c r="C199" s="8" t="n"/>
      <c r="D199" s="8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8" t="n"/>
    </row>
    <row r="200">
      <c r="A200" s="2">
        <f>IF(B200=LISTES!$C$2,A199+1,A199)</f>
        <v/>
      </c>
      <c r="B200" s="3">
        <f>IF(B199=LISTES!$C$2,LISTES!$C$3,LISTES!$C$2)</f>
        <v/>
      </c>
      <c r="C200" s="4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4" t="n"/>
    </row>
    <row r="201">
      <c r="A201" s="6">
        <f>IF(B201=LISTES!$C$2,A200+1,A200)</f>
        <v/>
      </c>
      <c r="B201" s="7">
        <f>IF(B200=LISTES!$C$2,LISTES!$C$3,LISTES!$C$2)</f>
        <v/>
      </c>
      <c r="C201" s="8" t="n"/>
      <c r="D201" s="8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8" t="n"/>
    </row>
    <row r="202">
      <c r="A202" s="2">
        <f>IF(B202=LISTES!$C$2,A201+1,A201)</f>
        <v/>
      </c>
      <c r="B202" s="3">
        <f>IF(B201=LISTES!$C$2,LISTES!$C$3,LISTES!$C$2)</f>
        <v/>
      </c>
      <c r="C202" s="4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4" t="n"/>
    </row>
    <row r="203">
      <c r="A203" s="6">
        <f>IF(B203=LISTES!$C$2,A202+1,A202)</f>
        <v/>
      </c>
      <c r="B203" s="7">
        <f>IF(B202=LISTES!$C$2,LISTES!$C$3,LISTES!$C$2)</f>
        <v/>
      </c>
      <c r="C203" s="8" t="n"/>
      <c r="D203" s="8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8" t="n"/>
    </row>
    <row r="204">
      <c r="A204" s="2">
        <f>IF(B204=LISTES!$C$2,A203+1,A203)</f>
        <v/>
      </c>
      <c r="B204" s="3">
        <f>IF(B203=LISTES!$C$2,LISTES!$C$3,LISTES!$C$2)</f>
        <v/>
      </c>
      <c r="C204" s="4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4" t="n"/>
    </row>
    <row r="205">
      <c r="A205" s="6">
        <f>IF(B205=LISTES!$C$2,A204+1,A204)</f>
        <v/>
      </c>
      <c r="B205" s="7">
        <f>IF(B204=LISTES!$C$2,LISTES!$C$3,LISTES!$C$2)</f>
        <v/>
      </c>
      <c r="C205" s="8" t="n"/>
      <c r="D205" s="8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8" t="n"/>
    </row>
    <row r="206">
      <c r="A206" s="2">
        <f>IF(B206=LISTES!$C$2,A205+1,A205)</f>
        <v/>
      </c>
      <c r="B206" s="3">
        <f>IF(B205=LISTES!$C$2,LISTES!$C$3,LISTES!$C$2)</f>
        <v/>
      </c>
      <c r="C206" s="4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4" t="n"/>
    </row>
    <row r="207">
      <c r="A207" s="6">
        <f>IF(B207=LISTES!$C$2,A206+1,A206)</f>
        <v/>
      </c>
      <c r="B207" s="7">
        <f>IF(B206=LISTES!$C$2,LISTES!$C$3,LISTES!$C$2)</f>
        <v/>
      </c>
      <c r="C207" s="8" t="n"/>
      <c r="D207" s="8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8" t="n"/>
    </row>
    <row r="208">
      <c r="A208" s="2">
        <f>IF(B208=LISTES!$C$2,A207+1,A207)</f>
        <v/>
      </c>
      <c r="B208" s="3">
        <f>IF(B207=LISTES!$C$2,LISTES!$C$3,LISTES!$C$2)</f>
        <v/>
      </c>
      <c r="C208" s="4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4" t="n"/>
    </row>
    <row r="209">
      <c r="A209" s="6">
        <f>IF(B209=LISTES!$C$2,A208+1,A208)</f>
        <v/>
      </c>
      <c r="B209" s="7">
        <f>IF(B208=LISTES!$C$2,LISTES!$C$3,LISTES!$C$2)</f>
        <v/>
      </c>
      <c r="C209" s="8" t="n"/>
      <c r="D209" s="8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8" t="n"/>
    </row>
    <row r="210">
      <c r="A210" s="2">
        <f>IF(B210=LISTES!$C$2,A209+1,A209)</f>
        <v/>
      </c>
      <c r="B210" s="3">
        <f>IF(B209=LISTES!$C$2,LISTES!$C$3,LISTES!$C$2)</f>
        <v/>
      </c>
      <c r="C210" s="4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4" t="n"/>
    </row>
    <row r="211">
      <c r="A211" s="6">
        <f>IF(B211=LISTES!$C$2,A210+1,A210)</f>
        <v/>
      </c>
      <c r="B211" s="7">
        <f>IF(B210=LISTES!$C$2,LISTES!$C$3,LISTES!$C$2)</f>
        <v/>
      </c>
      <c r="C211" s="8" t="n"/>
      <c r="D211" s="8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8" t="n"/>
    </row>
    <row r="212">
      <c r="A212" s="2">
        <f>IF(B212=LISTES!$C$2,A211+1,A211)</f>
        <v/>
      </c>
      <c r="B212" s="3">
        <f>IF(B211=LISTES!$C$2,LISTES!$C$3,LISTES!$C$2)</f>
        <v/>
      </c>
      <c r="C212" s="4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4" t="n"/>
    </row>
    <row r="213">
      <c r="A213" s="6">
        <f>IF(B213=LISTES!$C$2,A212+1,A212)</f>
        <v/>
      </c>
      <c r="B213" s="7">
        <f>IF(B212=LISTES!$C$2,LISTES!$C$3,LISTES!$C$2)</f>
        <v/>
      </c>
      <c r="C213" s="8" t="n"/>
      <c r="D213" s="8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8" t="n"/>
    </row>
    <row r="214">
      <c r="A214" s="2">
        <f>IF(B214=LISTES!$C$2,A213+1,A213)</f>
        <v/>
      </c>
      <c r="B214" s="3">
        <f>IF(B213=LISTES!$C$2,LISTES!$C$3,LISTES!$C$2)</f>
        <v/>
      </c>
      <c r="C214" s="4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4" t="n"/>
    </row>
    <row r="215">
      <c r="A215" s="6">
        <f>IF(B215=LISTES!$C$2,A214+1,A214)</f>
        <v/>
      </c>
      <c r="B215" s="7">
        <f>IF(B214=LISTES!$C$2,LISTES!$C$3,LISTES!$C$2)</f>
        <v/>
      </c>
      <c r="C215" s="8" t="n"/>
      <c r="D215" s="8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8" t="n"/>
    </row>
    <row r="216">
      <c r="A216" s="2">
        <f>IF(B216=LISTES!$C$2,A215+1,A215)</f>
        <v/>
      </c>
      <c r="B216" s="3">
        <f>IF(B215=LISTES!$C$2,LISTES!$C$3,LISTES!$C$2)</f>
        <v/>
      </c>
      <c r="C216" s="4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4" t="n"/>
    </row>
    <row r="217">
      <c r="A217" s="6">
        <f>IF(B217=LISTES!$C$2,A216+1,A216)</f>
        <v/>
      </c>
      <c r="B217" s="7">
        <f>IF(B216=LISTES!$C$2,LISTES!$C$3,LISTES!$C$2)</f>
        <v/>
      </c>
      <c r="C217" s="8" t="n"/>
      <c r="D217" s="8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8" t="n"/>
    </row>
    <row r="218">
      <c r="A218" s="2">
        <f>IF(B218=LISTES!$C$2,A217+1,A217)</f>
        <v/>
      </c>
      <c r="B218" s="3">
        <f>IF(B217=LISTES!$C$2,LISTES!$C$3,LISTES!$C$2)</f>
        <v/>
      </c>
      <c r="C218" s="4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4" t="n"/>
    </row>
    <row r="219">
      <c r="A219" s="6">
        <f>IF(B219=LISTES!$C$2,A218+1,A218)</f>
        <v/>
      </c>
      <c r="B219" s="7">
        <f>IF(B218=LISTES!$C$2,LISTES!$C$3,LISTES!$C$2)</f>
        <v/>
      </c>
      <c r="C219" s="8" t="n"/>
      <c r="D219" s="8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8" t="n"/>
    </row>
    <row r="220">
      <c r="A220" s="2">
        <f>IF(B220=LISTES!$C$2,A219+1,A219)</f>
        <v/>
      </c>
      <c r="B220" s="3">
        <f>IF(B219=LISTES!$C$2,LISTES!$C$3,LISTES!$C$2)</f>
        <v/>
      </c>
      <c r="C220" s="4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4" t="n"/>
    </row>
    <row r="221">
      <c r="A221" s="6">
        <f>IF(B221=LISTES!$C$2,A220+1,A220)</f>
        <v/>
      </c>
      <c r="B221" s="7">
        <f>IF(B220=LISTES!$C$2,LISTES!$C$3,LISTES!$C$2)</f>
        <v/>
      </c>
      <c r="C221" s="8" t="n"/>
      <c r="D221" s="8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8" t="n"/>
    </row>
    <row r="222">
      <c r="A222" s="2">
        <f>IF(B222=LISTES!$C$2,A221+1,A221)</f>
        <v/>
      </c>
      <c r="B222" s="3">
        <f>IF(B221=LISTES!$C$2,LISTES!$C$3,LISTES!$C$2)</f>
        <v/>
      </c>
      <c r="C222" s="4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4" t="n"/>
    </row>
    <row r="223">
      <c r="A223" s="6">
        <f>IF(B223=LISTES!$C$2,A222+1,A222)</f>
        <v/>
      </c>
      <c r="B223" s="7">
        <f>IF(B222=LISTES!$C$2,LISTES!$C$3,LISTES!$C$2)</f>
        <v/>
      </c>
      <c r="C223" s="8" t="n"/>
      <c r="D223" s="8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8" t="n"/>
    </row>
    <row r="224">
      <c r="A224" s="2">
        <f>IF(B224=LISTES!$C$2,A223+1,A223)</f>
        <v/>
      </c>
      <c r="B224" s="3">
        <f>IF(B223=LISTES!$C$2,LISTES!$C$3,LISTES!$C$2)</f>
        <v/>
      </c>
      <c r="C224" s="4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4" t="n"/>
    </row>
    <row r="225">
      <c r="A225" s="6">
        <f>IF(B225=LISTES!$C$2,A224+1,A224)</f>
        <v/>
      </c>
      <c r="B225" s="7">
        <f>IF(B224=LISTES!$C$2,LISTES!$C$3,LISTES!$C$2)</f>
        <v/>
      </c>
      <c r="C225" s="8" t="n"/>
      <c r="D225" s="8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8" t="n"/>
    </row>
    <row r="226">
      <c r="A226" s="2">
        <f>IF(B226=LISTES!$C$2,A225+1,A225)</f>
        <v/>
      </c>
      <c r="B226" s="3">
        <f>IF(B225=LISTES!$C$2,LISTES!$C$3,LISTES!$C$2)</f>
        <v/>
      </c>
      <c r="C226" s="4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4" t="n"/>
    </row>
    <row r="227">
      <c r="A227" s="6">
        <f>IF(B227=LISTES!$C$2,A226+1,A226)</f>
        <v/>
      </c>
      <c r="B227" s="7">
        <f>IF(B226=LISTES!$C$2,LISTES!$C$3,LISTES!$C$2)</f>
        <v/>
      </c>
      <c r="C227" s="8" t="n"/>
      <c r="D227" s="8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8" t="n"/>
    </row>
    <row r="228">
      <c r="A228" s="2">
        <f>IF(B228=LISTES!$C$2,A227+1,A227)</f>
        <v/>
      </c>
      <c r="B228" s="3">
        <f>IF(B227=LISTES!$C$2,LISTES!$C$3,LISTES!$C$2)</f>
        <v/>
      </c>
      <c r="C228" s="4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4" t="n"/>
    </row>
    <row r="229">
      <c r="A229" s="6">
        <f>IF(B229=LISTES!$C$2,A228+1,A228)</f>
        <v/>
      </c>
      <c r="B229" s="7">
        <f>IF(B228=LISTES!$C$2,LISTES!$C$3,LISTES!$C$2)</f>
        <v/>
      </c>
      <c r="C229" s="8" t="n"/>
      <c r="D229" s="8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8" t="n"/>
    </row>
    <row r="230">
      <c r="A230" s="2">
        <f>IF(B230=LISTES!$C$2,A229+1,A229)</f>
        <v/>
      </c>
      <c r="B230" s="3">
        <f>IF(B229=LISTES!$C$2,LISTES!$C$3,LISTES!$C$2)</f>
        <v/>
      </c>
      <c r="C230" s="4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4" t="n"/>
    </row>
    <row r="231">
      <c r="A231" s="6">
        <f>IF(B231=LISTES!$C$2,A230+1,A230)</f>
        <v/>
      </c>
      <c r="B231" s="7">
        <f>IF(B230=LISTES!$C$2,LISTES!$C$3,LISTES!$C$2)</f>
        <v/>
      </c>
      <c r="C231" s="8" t="n"/>
      <c r="D231" s="8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8" t="n"/>
    </row>
    <row r="232">
      <c r="A232" s="2">
        <f>IF(B232=LISTES!$C$2,A231+1,A231)</f>
        <v/>
      </c>
      <c r="B232" s="3">
        <f>IF(B231=LISTES!$C$2,LISTES!$C$3,LISTES!$C$2)</f>
        <v/>
      </c>
      <c r="C232" s="4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4" t="n"/>
    </row>
    <row r="233">
      <c r="A233" s="6">
        <f>IF(B233=LISTES!$C$2,A232+1,A232)</f>
        <v/>
      </c>
      <c r="B233" s="7">
        <f>IF(B232=LISTES!$C$2,LISTES!$C$3,LISTES!$C$2)</f>
        <v/>
      </c>
      <c r="C233" s="8" t="n"/>
      <c r="D233" s="8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8" t="n"/>
    </row>
    <row r="234">
      <c r="A234" s="2">
        <f>IF(B234=LISTES!$C$2,A233+1,A233)</f>
        <v/>
      </c>
      <c r="B234" s="3">
        <f>IF(B233=LISTES!$C$2,LISTES!$C$3,LISTES!$C$2)</f>
        <v/>
      </c>
      <c r="C234" s="4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4" t="n"/>
    </row>
    <row r="235">
      <c r="A235" s="6">
        <f>IF(B235=LISTES!$C$2,A234+1,A234)</f>
        <v/>
      </c>
      <c r="B235" s="7">
        <f>IF(B234=LISTES!$C$2,LISTES!$C$3,LISTES!$C$2)</f>
        <v/>
      </c>
      <c r="C235" s="8" t="n"/>
      <c r="D235" s="8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8" t="n"/>
    </row>
    <row r="236">
      <c r="A236" s="2">
        <f>IF(B236=LISTES!$C$2,A235+1,A235)</f>
        <v/>
      </c>
      <c r="B236" s="3">
        <f>IF(B235=LISTES!$C$2,LISTES!$C$3,LISTES!$C$2)</f>
        <v/>
      </c>
      <c r="C236" s="4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4" t="n"/>
    </row>
    <row r="237">
      <c r="A237" s="6">
        <f>IF(B237=LISTES!$C$2,A236+1,A236)</f>
        <v/>
      </c>
      <c r="B237" s="7">
        <f>IF(B236=LISTES!$C$2,LISTES!$C$3,LISTES!$C$2)</f>
        <v/>
      </c>
      <c r="C237" s="8" t="n"/>
      <c r="D237" s="8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8" t="n"/>
    </row>
    <row r="238">
      <c r="A238" s="2">
        <f>IF(B238=LISTES!$C$2,A237+1,A237)</f>
        <v/>
      </c>
      <c r="B238" s="3">
        <f>IF(B237=LISTES!$C$2,LISTES!$C$3,LISTES!$C$2)</f>
        <v/>
      </c>
      <c r="C238" s="4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4" t="n"/>
    </row>
    <row r="239">
      <c r="A239" s="6">
        <f>IF(B239=LISTES!$C$2,A238+1,A238)</f>
        <v/>
      </c>
      <c r="B239" s="7">
        <f>IF(B238=LISTES!$C$2,LISTES!$C$3,LISTES!$C$2)</f>
        <v/>
      </c>
      <c r="C239" s="8" t="n"/>
      <c r="D239" s="8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8" t="n"/>
    </row>
    <row r="240">
      <c r="A240" s="2">
        <f>IF(B240=LISTES!$C$2,A239+1,A239)</f>
        <v/>
      </c>
      <c r="B240" s="3">
        <f>IF(B239=LISTES!$C$2,LISTES!$C$3,LISTES!$C$2)</f>
        <v/>
      </c>
      <c r="C240" s="4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4" t="n"/>
    </row>
    <row r="241">
      <c r="A241" s="6">
        <f>IF(B241=LISTES!$C$2,A240+1,A240)</f>
        <v/>
      </c>
      <c r="B241" s="7">
        <f>IF(B240=LISTES!$C$2,LISTES!$C$3,LISTES!$C$2)</f>
        <v/>
      </c>
      <c r="C241" s="8" t="n"/>
      <c r="D241" s="8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8" t="n"/>
    </row>
    <row r="242">
      <c r="A242" s="2">
        <f>IF(B242=LISTES!$C$2,A241+1,A241)</f>
        <v/>
      </c>
      <c r="B242" s="3">
        <f>IF(B241=LISTES!$C$2,LISTES!$C$3,LISTES!$C$2)</f>
        <v/>
      </c>
      <c r="C242" s="4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4" t="n"/>
    </row>
    <row r="243">
      <c r="A243" s="6">
        <f>IF(B243=LISTES!$C$2,A242+1,A242)</f>
        <v/>
      </c>
      <c r="B243" s="7">
        <f>IF(B242=LISTES!$C$2,LISTES!$C$3,LISTES!$C$2)</f>
        <v/>
      </c>
      <c r="C243" s="8" t="n"/>
      <c r="D243" s="8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8" t="n"/>
    </row>
    <row r="244">
      <c r="A244" s="2">
        <f>IF(B244=LISTES!$C$2,A243+1,A243)</f>
        <v/>
      </c>
      <c r="B244" s="3">
        <f>IF(B243=LISTES!$C$2,LISTES!$C$3,LISTES!$C$2)</f>
        <v/>
      </c>
      <c r="C244" s="4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4" t="n"/>
    </row>
    <row r="245">
      <c r="A245" s="6">
        <f>IF(B245=LISTES!$C$2,A244+1,A244)</f>
        <v/>
      </c>
      <c r="B245" s="7">
        <f>IF(B244=LISTES!$C$2,LISTES!$C$3,LISTES!$C$2)</f>
        <v/>
      </c>
      <c r="C245" s="8" t="n"/>
      <c r="D245" s="8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8" t="n"/>
    </row>
    <row r="246">
      <c r="A246" s="2">
        <f>IF(B246=LISTES!$C$2,A245+1,A245)</f>
        <v/>
      </c>
      <c r="B246" s="3">
        <f>IF(B245=LISTES!$C$2,LISTES!$C$3,LISTES!$C$2)</f>
        <v/>
      </c>
      <c r="C246" s="4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4" t="n"/>
    </row>
    <row r="247">
      <c r="A247" s="6">
        <f>IF(B247=LISTES!$C$2,A246+1,A246)</f>
        <v/>
      </c>
      <c r="B247" s="7">
        <f>IF(B246=LISTES!$C$2,LISTES!$C$3,LISTES!$C$2)</f>
        <v/>
      </c>
      <c r="C247" s="8" t="n"/>
      <c r="D247" s="8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8" t="n"/>
    </row>
    <row r="248">
      <c r="A248" s="2">
        <f>IF(B248=LISTES!$C$2,A247+1,A247)</f>
        <v/>
      </c>
      <c r="B248" s="3">
        <f>IF(B247=LISTES!$C$2,LISTES!$C$3,LISTES!$C$2)</f>
        <v/>
      </c>
      <c r="C248" s="4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4" t="n"/>
    </row>
    <row r="249">
      <c r="A249" s="6">
        <f>IF(B249=LISTES!$C$2,A248+1,A248)</f>
        <v/>
      </c>
      <c r="B249" s="7">
        <f>IF(B248=LISTES!$C$2,LISTES!$C$3,LISTES!$C$2)</f>
        <v/>
      </c>
      <c r="C249" s="8" t="n"/>
      <c r="D249" s="8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8" t="n"/>
    </row>
    <row r="250">
      <c r="A250" s="2">
        <f>IF(B250=LISTES!$C$2,A249+1,A249)</f>
        <v/>
      </c>
      <c r="B250" s="3">
        <f>IF(B249=LISTES!$C$2,LISTES!$C$3,LISTES!$C$2)</f>
        <v/>
      </c>
      <c r="C250" s="4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4" t="n"/>
    </row>
    <row r="251">
      <c r="A251" s="6">
        <f>IF(B251=LISTES!$C$2,A250+1,A250)</f>
        <v/>
      </c>
      <c r="B251" s="7">
        <f>IF(B250=LISTES!$C$2,LISTES!$C$3,LISTES!$C$2)</f>
        <v/>
      </c>
      <c r="C251" s="8" t="n"/>
      <c r="D251" s="8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8" t="n"/>
    </row>
    <row r="252">
      <c r="A252" s="2">
        <f>IF(B252=LISTES!$C$2,A251+1,A251)</f>
        <v/>
      </c>
      <c r="B252" s="3">
        <f>IF(B251=LISTES!$C$2,LISTES!$C$3,LISTES!$C$2)</f>
        <v/>
      </c>
      <c r="C252" s="4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4" t="n"/>
    </row>
    <row r="253">
      <c r="A253" s="6">
        <f>IF(B253=LISTES!$C$2,A252+1,A252)</f>
        <v/>
      </c>
      <c r="B253" s="7">
        <f>IF(B252=LISTES!$C$2,LISTES!$C$3,LISTES!$C$2)</f>
        <v/>
      </c>
      <c r="C253" s="8" t="n"/>
      <c r="D253" s="8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8" t="n"/>
    </row>
    <row r="254">
      <c r="A254" s="2">
        <f>IF(B254=LISTES!$C$2,A253+1,A253)</f>
        <v/>
      </c>
      <c r="B254" s="3">
        <f>IF(B253=LISTES!$C$2,LISTES!$C$3,LISTES!$C$2)</f>
        <v/>
      </c>
      <c r="C254" s="4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4" t="n"/>
    </row>
    <row r="255">
      <c r="A255" s="6">
        <f>IF(B255=LISTES!$C$2,A254+1,A254)</f>
        <v/>
      </c>
      <c r="B255" s="7">
        <f>IF(B254=LISTES!$C$2,LISTES!$C$3,LISTES!$C$2)</f>
        <v/>
      </c>
      <c r="C255" s="8" t="n"/>
      <c r="D255" s="8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8" t="n"/>
    </row>
    <row r="256">
      <c r="A256" s="2">
        <f>IF(B256=LISTES!$C$2,A255+1,A255)</f>
        <v/>
      </c>
      <c r="B256" s="3">
        <f>IF(B255=LISTES!$C$2,LISTES!$C$3,LISTES!$C$2)</f>
        <v/>
      </c>
      <c r="C256" s="4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4" t="n"/>
    </row>
    <row r="257">
      <c r="A257" s="6">
        <f>IF(B257=LISTES!$C$2,A256+1,A256)</f>
        <v/>
      </c>
      <c r="B257" s="7">
        <f>IF(B256=LISTES!$C$2,LISTES!$C$3,LISTES!$C$2)</f>
        <v/>
      </c>
      <c r="C257" s="8" t="n"/>
      <c r="D257" s="8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8" t="n"/>
    </row>
    <row r="258">
      <c r="A258" s="2">
        <f>IF(B258=LISTES!$C$2,A257+1,A257)</f>
        <v/>
      </c>
      <c r="B258" s="3">
        <f>IF(B257=LISTES!$C$2,LISTES!$C$3,LISTES!$C$2)</f>
        <v/>
      </c>
      <c r="C258" s="4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4" t="n"/>
    </row>
    <row r="259">
      <c r="A259" s="6">
        <f>IF(B259=LISTES!$C$2,A258+1,A258)</f>
        <v/>
      </c>
      <c r="B259" s="7">
        <f>IF(B258=LISTES!$C$2,LISTES!$C$3,LISTES!$C$2)</f>
        <v/>
      </c>
      <c r="C259" s="8" t="n"/>
      <c r="D259" s="8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8" t="n"/>
    </row>
    <row r="260">
      <c r="A260" s="2">
        <f>IF(B260=LISTES!$C$2,A259+1,A259)</f>
        <v/>
      </c>
      <c r="B260" s="3">
        <f>IF(B259=LISTES!$C$2,LISTES!$C$3,LISTES!$C$2)</f>
        <v/>
      </c>
      <c r="C260" s="4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4" t="n"/>
    </row>
    <row r="261">
      <c r="A261" s="6">
        <f>IF(B261=LISTES!$C$2,A260+1,A260)</f>
        <v/>
      </c>
      <c r="B261" s="7">
        <f>IF(B260=LISTES!$C$2,LISTES!$C$3,LISTES!$C$2)</f>
        <v/>
      </c>
      <c r="C261" s="8" t="n"/>
      <c r="D261" s="8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8" t="n"/>
    </row>
    <row r="262">
      <c r="A262" s="2">
        <f>IF(B262=LISTES!$C$2,A261+1,A261)</f>
        <v/>
      </c>
      <c r="B262" s="3">
        <f>IF(B261=LISTES!$C$2,LISTES!$C$3,LISTES!$C$2)</f>
        <v/>
      </c>
      <c r="C262" s="4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4" t="n"/>
    </row>
    <row r="263">
      <c r="A263" s="6">
        <f>IF(B263=LISTES!$C$2,A262+1,A262)</f>
        <v/>
      </c>
      <c r="B263" s="7">
        <f>IF(B262=LISTES!$C$2,LISTES!$C$3,LISTES!$C$2)</f>
        <v/>
      </c>
      <c r="C263" s="8" t="n"/>
      <c r="D263" s="8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8" t="n"/>
    </row>
    <row r="264">
      <c r="A264" s="2">
        <f>IF(B264=LISTES!$C$2,A263+1,A263)</f>
        <v/>
      </c>
      <c r="B264" s="3">
        <f>IF(B263=LISTES!$C$2,LISTES!$C$3,LISTES!$C$2)</f>
        <v/>
      </c>
      <c r="C264" s="4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4" t="n"/>
    </row>
    <row r="265">
      <c r="A265" s="6">
        <f>IF(B265=LISTES!$C$2,A264+1,A264)</f>
        <v/>
      </c>
      <c r="B265" s="7">
        <f>IF(B264=LISTES!$C$2,LISTES!$C$3,LISTES!$C$2)</f>
        <v/>
      </c>
      <c r="C265" s="8" t="n"/>
      <c r="D265" s="8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8" t="n"/>
    </row>
    <row r="266">
      <c r="A266" s="2">
        <f>IF(B266=LISTES!$C$2,A265+1,A265)</f>
        <v/>
      </c>
      <c r="B266" s="3">
        <f>IF(B265=LISTES!$C$2,LISTES!$C$3,LISTES!$C$2)</f>
        <v/>
      </c>
      <c r="C266" s="4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4" t="n"/>
    </row>
    <row r="267">
      <c r="A267" s="6">
        <f>IF(B267=LISTES!$C$2,A266+1,A266)</f>
        <v/>
      </c>
      <c r="B267" s="7">
        <f>IF(B266=LISTES!$C$2,LISTES!$C$3,LISTES!$C$2)</f>
        <v/>
      </c>
      <c r="C267" s="8" t="n"/>
      <c r="D267" s="8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8" t="n"/>
    </row>
    <row r="268">
      <c r="A268" s="2">
        <f>IF(B268=LISTES!$C$2,A267+1,A267)</f>
        <v/>
      </c>
      <c r="B268" s="3">
        <f>IF(B267=LISTES!$C$2,LISTES!$C$3,LISTES!$C$2)</f>
        <v/>
      </c>
      <c r="C268" s="4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4" t="n"/>
    </row>
    <row r="269">
      <c r="A269" s="6">
        <f>IF(B269=LISTES!$C$2,A268+1,A268)</f>
        <v/>
      </c>
      <c r="B269" s="7">
        <f>IF(B268=LISTES!$C$2,LISTES!$C$3,LISTES!$C$2)</f>
        <v/>
      </c>
      <c r="C269" s="8" t="n"/>
      <c r="D269" s="8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8" t="n"/>
    </row>
    <row r="270">
      <c r="A270" s="2">
        <f>IF(B270=LISTES!$C$2,A269+1,A269)</f>
        <v/>
      </c>
      <c r="B270" s="3">
        <f>IF(B269=LISTES!$C$2,LISTES!$C$3,LISTES!$C$2)</f>
        <v/>
      </c>
      <c r="C270" s="4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4" t="n"/>
    </row>
    <row r="271">
      <c r="A271" s="6">
        <f>IF(B271=LISTES!$C$2,A270+1,A270)</f>
        <v/>
      </c>
      <c r="B271" s="7">
        <f>IF(B270=LISTES!$C$2,LISTES!$C$3,LISTES!$C$2)</f>
        <v/>
      </c>
      <c r="C271" s="8" t="n"/>
      <c r="D271" s="8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8" t="n"/>
    </row>
    <row r="272">
      <c r="A272" s="2">
        <f>IF(B272=LISTES!$C$2,A271+1,A271)</f>
        <v/>
      </c>
      <c r="B272" s="3">
        <f>IF(B271=LISTES!$C$2,LISTES!$C$3,LISTES!$C$2)</f>
        <v/>
      </c>
      <c r="C272" s="4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4" t="n"/>
    </row>
    <row r="273">
      <c r="A273" s="6">
        <f>IF(B273=LISTES!$C$2,A272+1,A272)</f>
        <v/>
      </c>
      <c r="B273" s="7">
        <f>IF(B272=LISTES!$C$2,LISTES!$C$3,LISTES!$C$2)</f>
        <v/>
      </c>
      <c r="C273" s="8" t="n"/>
      <c r="D273" s="8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8" t="n"/>
    </row>
    <row r="274">
      <c r="A274" s="2">
        <f>IF(B274=LISTES!$C$2,A273+1,A273)</f>
        <v/>
      </c>
      <c r="B274" s="3">
        <f>IF(B273=LISTES!$C$2,LISTES!$C$3,LISTES!$C$2)</f>
        <v/>
      </c>
      <c r="C274" s="4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4" t="n"/>
    </row>
    <row r="275">
      <c r="A275" s="6">
        <f>IF(B275=LISTES!$C$2,A274+1,A274)</f>
        <v/>
      </c>
      <c r="B275" s="7">
        <f>IF(B274=LISTES!$C$2,LISTES!$C$3,LISTES!$C$2)</f>
        <v/>
      </c>
      <c r="C275" s="8" t="n"/>
      <c r="D275" s="8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8" t="n"/>
    </row>
    <row r="276">
      <c r="A276" s="2">
        <f>IF(B276=LISTES!$C$2,A275+1,A275)</f>
        <v/>
      </c>
      <c r="B276" s="3">
        <f>IF(B275=LISTES!$C$2,LISTES!$C$3,LISTES!$C$2)</f>
        <v/>
      </c>
      <c r="C276" s="4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4" t="n"/>
    </row>
    <row r="277">
      <c r="A277" s="6">
        <f>IF(B277=LISTES!$C$2,A276+1,A276)</f>
        <v/>
      </c>
      <c r="B277" s="7">
        <f>IF(B276=LISTES!$C$2,LISTES!$C$3,LISTES!$C$2)</f>
        <v/>
      </c>
      <c r="C277" s="8" t="n"/>
      <c r="D277" s="8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8" t="n"/>
    </row>
    <row r="278">
      <c r="A278" s="2">
        <f>IF(B278=LISTES!$C$2,A277+1,A277)</f>
        <v/>
      </c>
      <c r="B278" s="3">
        <f>IF(B277=LISTES!$C$2,LISTES!$C$3,LISTES!$C$2)</f>
        <v/>
      </c>
      <c r="C278" s="4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4" t="n"/>
    </row>
    <row r="279">
      <c r="A279" s="6">
        <f>IF(B279=LISTES!$C$2,A278+1,A278)</f>
        <v/>
      </c>
      <c r="B279" s="7">
        <f>IF(B278=LISTES!$C$2,LISTES!$C$3,LISTES!$C$2)</f>
        <v/>
      </c>
      <c r="C279" s="8" t="n"/>
      <c r="D279" s="8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8" t="n"/>
    </row>
    <row r="280">
      <c r="A280" s="2">
        <f>IF(B280=LISTES!$C$2,A279+1,A279)</f>
        <v/>
      </c>
      <c r="B280" s="3">
        <f>IF(B279=LISTES!$C$2,LISTES!$C$3,LISTES!$C$2)</f>
        <v/>
      </c>
      <c r="C280" s="4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4" t="n"/>
    </row>
    <row r="281">
      <c r="A281" s="6">
        <f>IF(B281=LISTES!$C$2,A280+1,A280)</f>
        <v/>
      </c>
      <c r="B281" s="7">
        <f>IF(B280=LISTES!$C$2,LISTES!$C$3,LISTES!$C$2)</f>
        <v/>
      </c>
      <c r="C281" s="8" t="n"/>
      <c r="D281" s="8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8" t="n"/>
    </row>
    <row r="282">
      <c r="A282" s="2">
        <f>IF(B282=LISTES!$C$2,A281+1,A281)</f>
        <v/>
      </c>
      <c r="B282" s="3">
        <f>IF(B281=LISTES!$C$2,LISTES!$C$3,LISTES!$C$2)</f>
        <v/>
      </c>
      <c r="C282" s="4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4" t="n"/>
    </row>
    <row r="283">
      <c r="A283" s="6">
        <f>IF(B283=LISTES!$C$2,A282+1,A282)</f>
        <v/>
      </c>
      <c r="B283" s="7">
        <f>IF(B282=LISTES!$C$2,LISTES!$C$3,LISTES!$C$2)</f>
        <v/>
      </c>
      <c r="C283" s="8" t="n"/>
      <c r="D283" s="8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8" t="n"/>
    </row>
    <row r="284">
      <c r="A284" s="2">
        <f>IF(B284=LISTES!$C$2,A283+1,A283)</f>
        <v/>
      </c>
      <c r="B284" s="3">
        <f>IF(B283=LISTES!$C$2,LISTES!$C$3,LISTES!$C$2)</f>
        <v/>
      </c>
      <c r="C284" s="4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4" t="n"/>
    </row>
    <row r="285">
      <c r="A285" s="6">
        <f>IF(B285=LISTES!$C$2,A284+1,A284)</f>
        <v/>
      </c>
      <c r="B285" s="7">
        <f>IF(B284=LISTES!$C$2,LISTES!$C$3,LISTES!$C$2)</f>
        <v/>
      </c>
      <c r="C285" s="8" t="n"/>
      <c r="D285" s="8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8" t="n"/>
    </row>
    <row r="286">
      <c r="A286" s="2">
        <f>IF(B286=LISTES!$C$2,A285+1,A285)</f>
        <v/>
      </c>
      <c r="B286" s="3">
        <f>IF(B285=LISTES!$C$2,LISTES!$C$3,LISTES!$C$2)</f>
        <v/>
      </c>
      <c r="C286" s="4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4" t="n"/>
    </row>
    <row r="287">
      <c r="A287" s="6">
        <f>IF(B287=LISTES!$C$2,A286+1,A286)</f>
        <v/>
      </c>
      <c r="B287" s="7">
        <f>IF(B286=LISTES!$C$2,LISTES!$C$3,LISTES!$C$2)</f>
        <v/>
      </c>
      <c r="C287" s="8" t="n"/>
      <c r="D287" s="8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8" t="n"/>
    </row>
    <row r="288">
      <c r="A288" s="2">
        <f>IF(B288=LISTES!$C$2,A287+1,A287)</f>
        <v/>
      </c>
      <c r="B288" s="3">
        <f>IF(B287=LISTES!$C$2,LISTES!$C$3,LISTES!$C$2)</f>
        <v/>
      </c>
      <c r="C288" s="4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4" t="n"/>
    </row>
    <row r="289">
      <c r="A289" s="6">
        <f>IF(B289=LISTES!$C$2,A288+1,A288)</f>
        <v/>
      </c>
      <c r="B289" s="7">
        <f>IF(B288=LISTES!$C$2,LISTES!$C$3,LISTES!$C$2)</f>
        <v/>
      </c>
      <c r="C289" s="8" t="n"/>
      <c r="D289" s="8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8" t="n"/>
    </row>
    <row r="290">
      <c r="A290" s="2">
        <f>IF(B290=LISTES!$C$2,A289+1,A289)</f>
        <v/>
      </c>
      <c r="B290" s="3">
        <f>IF(B289=LISTES!$C$2,LISTES!$C$3,LISTES!$C$2)</f>
        <v/>
      </c>
      <c r="C290" s="4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4" t="n"/>
    </row>
    <row r="291">
      <c r="A291" s="6">
        <f>IF(B291=LISTES!$C$2,A290+1,A290)</f>
        <v/>
      </c>
      <c r="B291" s="7">
        <f>IF(B290=LISTES!$C$2,LISTES!$C$3,LISTES!$C$2)</f>
        <v/>
      </c>
      <c r="C291" s="8" t="n"/>
      <c r="D291" s="8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8" t="n"/>
    </row>
    <row r="292">
      <c r="A292" s="2">
        <f>IF(B292=LISTES!$C$2,A291+1,A291)</f>
        <v/>
      </c>
      <c r="B292" s="3">
        <f>IF(B291=LISTES!$C$2,LISTES!$C$3,LISTES!$C$2)</f>
        <v/>
      </c>
      <c r="C292" s="4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4" t="n"/>
    </row>
    <row r="293">
      <c r="A293" s="6">
        <f>IF(B293=LISTES!$C$2,A292+1,A292)</f>
        <v/>
      </c>
      <c r="B293" s="7">
        <f>IF(B292=LISTES!$C$2,LISTES!$C$3,LISTES!$C$2)</f>
        <v/>
      </c>
      <c r="C293" s="8" t="n"/>
      <c r="D293" s="8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8" t="n"/>
    </row>
    <row r="294">
      <c r="A294" s="2">
        <f>IF(B294=LISTES!$C$2,A293+1,A293)</f>
        <v/>
      </c>
      <c r="B294" s="3">
        <f>IF(B293=LISTES!$C$2,LISTES!$C$3,LISTES!$C$2)</f>
        <v/>
      </c>
      <c r="C294" s="4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4" t="n"/>
    </row>
    <row r="295">
      <c r="A295" s="6">
        <f>IF(B295=LISTES!$C$2,A294+1,A294)</f>
        <v/>
      </c>
      <c r="B295" s="7">
        <f>IF(B294=LISTES!$C$2,LISTES!$C$3,LISTES!$C$2)</f>
        <v/>
      </c>
      <c r="C295" s="8" t="n"/>
      <c r="D295" s="8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8" t="n"/>
    </row>
    <row r="296">
      <c r="A296" s="2">
        <f>IF(B296=LISTES!$C$2,A295+1,A295)</f>
        <v/>
      </c>
      <c r="B296" s="3">
        <f>IF(B295=LISTES!$C$2,LISTES!$C$3,LISTES!$C$2)</f>
        <v/>
      </c>
      <c r="C296" s="4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4" t="n"/>
    </row>
    <row r="297">
      <c r="A297" s="6">
        <f>IF(B297=LISTES!$C$2,A296+1,A296)</f>
        <v/>
      </c>
      <c r="B297" s="7">
        <f>IF(B296=LISTES!$C$2,LISTES!$C$3,LISTES!$C$2)</f>
        <v/>
      </c>
      <c r="C297" s="8" t="n"/>
      <c r="D297" s="8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8" t="n"/>
    </row>
    <row r="298">
      <c r="A298" s="2">
        <f>IF(B298=LISTES!$C$2,A297+1,A297)</f>
        <v/>
      </c>
      <c r="B298" s="3">
        <f>IF(B297=LISTES!$C$2,LISTES!$C$3,LISTES!$C$2)</f>
        <v/>
      </c>
      <c r="C298" s="4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4" t="n"/>
    </row>
    <row r="299">
      <c r="A299" s="6">
        <f>IF(B299=LISTES!$C$2,A298+1,A298)</f>
        <v/>
      </c>
      <c r="B299" s="7">
        <f>IF(B298=LISTES!$C$2,LISTES!$C$3,LISTES!$C$2)</f>
        <v/>
      </c>
      <c r="C299" s="8" t="n"/>
      <c r="D299" s="8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8" t="n"/>
    </row>
    <row r="300">
      <c r="A300" s="2">
        <f>IF(B300=LISTES!$C$2,A299+1,A299)</f>
        <v/>
      </c>
      <c r="B300" s="3">
        <f>IF(B299=LISTES!$C$2,LISTES!$C$3,LISTES!$C$2)</f>
        <v/>
      </c>
      <c r="C300" s="4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4" t="n"/>
    </row>
    <row r="301">
      <c r="A301" s="6">
        <f>IF(B301=LISTES!$C$2,A300+1,A300)</f>
        <v/>
      </c>
      <c r="B301" s="7">
        <f>IF(B300=LISTES!$C$2,LISTES!$C$3,LISTES!$C$2)</f>
        <v/>
      </c>
      <c r="C301" s="8" t="n"/>
      <c r="D301" s="8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8" t="n"/>
    </row>
    <row r="302">
      <c r="A302" s="2">
        <f>IF(B302=LISTES!$C$2,A301+1,A301)</f>
        <v/>
      </c>
      <c r="B302" s="3">
        <f>IF(B301=LISTES!$C$2,LISTES!$C$3,LISTES!$C$2)</f>
        <v/>
      </c>
      <c r="C302" s="4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4" t="n"/>
    </row>
    <row r="303">
      <c r="A303" s="6">
        <f>IF(B303=LISTES!$C$2,A302+1,A302)</f>
        <v/>
      </c>
      <c r="B303" s="7">
        <f>IF(B302=LISTES!$C$2,LISTES!$C$3,LISTES!$C$2)</f>
        <v/>
      </c>
      <c r="C303" s="8" t="n"/>
      <c r="D303" s="8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8" t="n"/>
    </row>
    <row r="304">
      <c r="A304" s="2">
        <f>IF(B304=LISTES!$C$2,A303+1,A303)</f>
        <v/>
      </c>
      <c r="B304" s="3">
        <f>IF(B303=LISTES!$C$2,LISTES!$C$3,LISTES!$C$2)</f>
        <v/>
      </c>
      <c r="C304" s="4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4" t="n"/>
    </row>
    <row r="305">
      <c r="A305" s="6">
        <f>IF(B305=LISTES!$C$2,A304+1,A304)</f>
        <v/>
      </c>
      <c r="B305" s="7">
        <f>IF(B304=LISTES!$C$2,LISTES!$C$3,LISTES!$C$2)</f>
        <v/>
      </c>
      <c r="C305" s="8" t="n"/>
      <c r="D305" s="8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8" t="n"/>
    </row>
    <row r="306">
      <c r="A306" s="2">
        <f>IF(B306=LISTES!$C$2,A305+1,A305)</f>
        <v/>
      </c>
      <c r="B306" s="3">
        <f>IF(B305=LISTES!$C$2,LISTES!$C$3,LISTES!$C$2)</f>
        <v/>
      </c>
      <c r="C306" s="4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4" t="n"/>
    </row>
    <row r="307">
      <c r="A307" s="6">
        <f>IF(B307=LISTES!$C$2,A306+1,A306)</f>
        <v/>
      </c>
      <c r="B307" s="7">
        <f>IF(B306=LISTES!$C$2,LISTES!$C$3,LISTES!$C$2)</f>
        <v/>
      </c>
      <c r="C307" s="8" t="n"/>
      <c r="D307" s="8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8" t="n"/>
    </row>
    <row r="308">
      <c r="A308" s="2">
        <f>IF(B308=LISTES!$C$2,A307+1,A307)</f>
        <v/>
      </c>
      <c r="B308" s="3">
        <f>IF(B307=LISTES!$C$2,LISTES!$C$3,LISTES!$C$2)</f>
        <v/>
      </c>
      <c r="C308" s="4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4" t="n"/>
    </row>
    <row r="309">
      <c r="A309" s="6">
        <f>IF(B309=LISTES!$C$2,A308+1,A308)</f>
        <v/>
      </c>
      <c r="B309" s="7">
        <f>IF(B308=LISTES!$C$2,LISTES!$C$3,LISTES!$C$2)</f>
        <v/>
      </c>
      <c r="C309" s="8" t="n"/>
      <c r="D309" s="8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8" t="n"/>
    </row>
    <row r="310">
      <c r="A310" s="2">
        <f>IF(B310=LISTES!$C$2,A309+1,A309)</f>
        <v/>
      </c>
      <c r="B310" s="3">
        <f>IF(B309=LISTES!$C$2,LISTES!$C$3,LISTES!$C$2)</f>
        <v/>
      </c>
      <c r="C310" s="4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4" t="n"/>
    </row>
    <row r="311">
      <c r="A311" s="6">
        <f>IF(B311=LISTES!$C$2,A310+1,A310)</f>
        <v/>
      </c>
      <c r="B311" s="7">
        <f>IF(B310=LISTES!$C$2,LISTES!$C$3,LISTES!$C$2)</f>
        <v/>
      </c>
      <c r="C311" s="8" t="n"/>
      <c r="D311" s="8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8" t="n"/>
    </row>
    <row r="312">
      <c r="A312" s="2">
        <f>IF(B312=LISTES!$C$2,A311+1,A311)</f>
        <v/>
      </c>
      <c r="B312" s="3">
        <f>IF(B311=LISTES!$C$2,LISTES!$C$3,LISTES!$C$2)</f>
        <v/>
      </c>
      <c r="C312" s="4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4" t="n"/>
    </row>
    <row r="313">
      <c r="A313" s="6">
        <f>IF(B313=LISTES!$C$2,A312+1,A312)</f>
        <v/>
      </c>
      <c r="B313" s="7">
        <f>IF(B312=LISTES!$C$2,LISTES!$C$3,LISTES!$C$2)</f>
        <v/>
      </c>
      <c r="C313" s="8" t="n"/>
      <c r="D313" s="8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8" t="n"/>
    </row>
    <row r="314">
      <c r="A314" s="2">
        <f>IF(B314=LISTES!$C$2,A313+1,A313)</f>
        <v/>
      </c>
      <c r="B314" s="3">
        <f>IF(B313=LISTES!$C$2,LISTES!$C$3,LISTES!$C$2)</f>
        <v/>
      </c>
      <c r="C314" s="4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4" t="n"/>
    </row>
    <row r="315">
      <c r="A315" s="6">
        <f>IF(B315=LISTES!$C$2,A314+1,A314)</f>
        <v/>
      </c>
      <c r="B315" s="7">
        <f>IF(B314=LISTES!$C$2,LISTES!$C$3,LISTES!$C$2)</f>
        <v/>
      </c>
      <c r="C315" s="8" t="n"/>
      <c r="D315" s="8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8" t="n"/>
    </row>
    <row r="316">
      <c r="A316" s="2">
        <f>IF(B316=LISTES!$C$2,A315+1,A315)</f>
        <v/>
      </c>
      <c r="B316" s="3">
        <f>IF(B315=LISTES!$C$2,LISTES!$C$3,LISTES!$C$2)</f>
        <v/>
      </c>
      <c r="C316" s="4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4" t="n"/>
    </row>
    <row r="317">
      <c r="A317" s="6">
        <f>IF(B317=LISTES!$C$2,A316+1,A316)</f>
        <v/>
      </c>
      <c r="B317" s="7">
        <f>IF(B316=LISTES!$C$2,LISTES!$C$3,LISTES!$C$2)</f>
        <v/>
      </c>
      <c r="C317" s="8" t="n"/>
      <c r="D317" s="8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8" t="n"/>
    </row>
    <row r="318">
      <c r="A318" s="2">
        <f>IF(B318=LISTES!$C$2,A317+1,A317)</f>
        <v/>
      </c>
      <c r="B318" s="3">
        <f>IF(B317=LISTES!$C$2,LISTES!$C$3,LISTES!$C$2)</f>
        <v/>
      </c>
      <c r="C318" s="4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4" t="n"/>
    </row>
    <row r="319">
      <c r="A319" s="6">
        <f>IF(B319=LISTES!$C$2,A318+1,A318)</f>
        <v/>
      </c>
      <c r="B319" s="7">
        <f>IF(B318=LISTES!$C$2,LISTES!$C$3,LISTES!$C$2)</f>
        <v/>
      </c>
      <c r="C319" s="8" t="n"/>
      <c r="D319" s="8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8" t="n"/>
    </row>
    <row r="320">
      <c r="A320" s="2">
        <f>IF(B320=LISTES!$C$2,A319+1,A319)</f>
        <v/>
      </c>
      <c r="B320" s="3">
        <f>IF(B319=LISTES!$C$2,LISTES!$C$3,LISTES!$C$2)</f>
        <v/>
      </c>
      <c r="C320" s="4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4" t="n"/>
    </row>
    <row r="321">
      <c r="A321" s="6">
        <f>IF(B321=LISTES!$C$2,A320+1,A320)</f>
        <v/>
      </c>
      <c r="B321" s="7">
        <f>IF(B320=LISTES!$C$2,LISTES!$C$3,LISTES!$C$2)</f>
        <v/>
      </c>
      <c r="C321" s="8" t="n"/>
      <c r="D321" s="8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8" t="n"/>
    </row>
    <row r="322">
      <c r="A322" s="2">
        <f>IF(B322=LISTES!$C$2,A321+1,A321)</f>
        <v/>
      </c>
      <c r="B322" s="3">
        <f>IF(B321=LISTES!$C$2,LISTES!$C$3,LISTES!$C$2)</f>
        <v/>
      </c>
      <c r="C322" s="4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4" t="n"/>
    </row>
    <row r="323">
      <c r="A323" s="6">
        <f>IF(B323=LISTES!$C$2,A322+1,A322)</f>
        <v/>
      </c>
      <c r="B323" s="7">
        <f>IF(B322=LISTES!$C$2,LISTES!$C$3,LISTES!$C$2)</f>
        <v/>
      </c>
      <c r="C323" s="8" t="n"/>
      <c r="D323" s="8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8" t="n"/>
    </row>
    <row r="324">
      <c r="A324" s="2">
        <f>IF(B324=LISTES!$C$2,A323+1,A323)</f>
        <v/>
      </c>
      <c r="B324" s="3">
        <f>IF(B323=LISTES!$C$2,LISTES!$C$3,LISTES!$C$2)</f>
        <v/>
      </c>
      <c r="C324" s="4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4" t="n"/>
    </row>
    <row r="325">
      <c r="A325" s="6">
        <f>IF(B325=LISTES!$C$2,A324+1,A324)</f>
        <v/>
      </c>
      <c r="B325" s="7">
        <f>IF(B324=LISTES!$C$2,LISTES!$C$3,LISTES!$C$2)</f>
        <v/>
      </c>
      <c r="C325" s="8" t="n"/>
      <c r="D325" s="8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8" t="n"/>
    </row>
    <row r="326">
      <c r="A326" s="2">
        <f>IF(B326=LISTES!$C$2,A325+1,A325)</f>
        <v/>
      </c>
      <c r="B326" s="3">
        <f>IF(B325=LISTES!$C$2,LISTES!$C$3,LISTES!$C$2)</f>
        <v/>
      </c>
      <c r="C326" s="4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4" t="n"/>
    </row>
    <row r="327">
      <c r="A327" s="6">
        <f>IF(B327=LISTES!$C$2,A326+1,A326)</f>
        <v/>
      </c>
      <c r="B327" s="7">
        <f>IF(B326=LISTES!$C$2,LISTES!$C$3,LISTES!$C$2)</f>
        <v/>
      </c>
      <c r="C327" s="8" t="n"/>
      <c r="D327" s="8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8" t="n"/>
    </row>
    <row r="328">
      <c r="A328" s="2">
        <f>IF(B328=LISTES!$C$2,A327+1,A327)</f>
        <v/>
      </c>
      <c r="B328" s="3">
        <f>IF(B327=LISTES!$C$2,LISTES!$C$3,LISTES!$C$2)</f>
        <v/>
      </c>
      <c r="C328" s="4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4" t="n"/>
    </row>
    <row r="329">
      <c r="A329" s="6">
        <f>IF(B329=LISTES!$C$2,A328+1,A328)</f>
        <v/>
      </c>
      <c r="B329" s="7">
        <f>IF(B328=LISTES!$C$2,LISTES!$C$3,LISTES!$C$2)</f>
        <v/>
      </c>
      <c r="C329" s="8" t="n"/>
      <c r="D329" s="8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8" t="n"/>
    </row>
    <row r="330">
      <c r="A330" s="2">
        <f>IF(B330=LISTES!$C$2,A329+1,A329)</f>
        <v/>
      </c>
      <c r="B330" s="3">
        <f>IF(B329=LISTES!$C$2,LISTES!$C$3,LISTES!$C$2)</f>
        <v/>
      </c>
      <c r="C330" s="4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4" t="n"/>
    </row>
    <row r="331">
      <c r="A331" s="6">
        <f>IF(B331=LISTES!$C$2,A330+1,A330)</f>
        <v/>
      </c>
      <c r="B331" s="7">
        <f>IF(B330=LISTES!$C$2,LISTES!$C$3,LISTES!$C$2)</f>
        <v/>
      </c>
      <c r="C331" s="8" t="n"/>
      <c r="D331" s="8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8" t="n"/>
    </row>
    <row r="332">
      <c r="A332" s="2">
        <f>IF(B332=LISTES!$C$2,A331+1,A331)</f>
        <v/>
      </c>
      <c r="B332" s="3">
        <f>IF(B331=LISTES!$C$2,LISTES!$C$3,LISTES!$C$2)</f>
        <v/>
      </c>
      <c r="C332" s="4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4" t="n"/>
    </row>
    <row r="333">
      <c r="A333" s="6">
        <f>IF(B333=LISTES!$C$2,A332+1,A332)</f>
        <v/>
      </c>
      <c r="B333" s="7">
        <f>IF(B332=LISTES!$C$2,LISTES!$C$3,LISTES!$C$2)</f>
        <v/>
      </c>
      <c r="C333" s="8" t="n"/>
      <c r="D333" s="8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8" t="n"/>
    </row>
    <row r="334">
      <c r="A334" s="2">
        <f>IF(B334=LISTES!$C$2,A333+1,A333)</f>
        <v/>
      </c>
      <c r="B334" s="3">
        <f>IF(B333=LISTES!$C$2,LISTES!$C$3,LISTES!$C$2)</f>
        <v/>
      </c>
      <c r="C334" s="4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4" t="n"/>
    </row>
    <row r="335">
      <c r="A335" s="6">
        <f>IF(B335=LISTES!$C$2,A334+1,A334)</f>
        <v/>
      </c>
      <c r="B335" s="7">
        <f>IF(B334=LISTES!$C$2,LISTES!$C$3,LISTES!$C$2)</f>
        <v/>
      </c>
      <c r="C335" s="8" t="n"/>
      <c r="D335" s="8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8" t="n"/>
    </row>
    <row r="336">
      <c r="A336" s="2">
        <f>IF(B336=LISTES!$C$2,A335+1,A335)</f>
        <v/>
      </c>
      <c r="B336" s="3">
        <f>IF(B335=LISTES!$C$2,LISTES!$C$3,LISTES!$C$2)</f>
        <v/>
      </c>
      <c r="C336" s="4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4" t="n"/>
    </row>
    <row r="337">
      <c r="A337" s="6">
        <f>IF(B337=LISTES!$C$2,A336+1,A336)</f>
        <v/>
      </c>
      <c r="B337" s="7">
        <f>IF(B336=LISTES!$C$2,LISTES!$C$3,LISTES!$C$2)</f>
        <v/>
      </c>
      <c r="C337" s="8" t="n"/>
      <c r="D337" s="8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8" t="n"/>
    </row>
    <row r="338">
      <c r="A338" s="2">
        <f>IF(B338=LISTES!$C$2,A337+1,A337)</f>
        <v/>
      </c>
      <c r="B338" s="3">
        <f>IF(B337=LISTES!$C$2,LISTES!$C$3,LISTES!$C$2)</f>
        <v/>
      </c>
      <c r="C338" s="4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4" t="n"/>
    </row>
    <row r="339">
      <c r="A339" s="6">
        <f>IF(B339=LISTES!$C$2,A338+1,A338)</f>
        <v/>
      </c>
      <c r="B339" s="7">
        <f>IF(B338=LISTES!$C$2,LISTES!$C$3,LISTES!$C$2)</f>
        <v/>
      </c>
      <c r="C339" s="8" t="n"/>
      <c r="D339" s="8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8" t="n"/>
    </row>
    <row r="340">
      <c r="A340" s="2">
        <f>IF(B340=LISTES!$C$2,A339+1,A339)</f>
        <v/>
      </c>
      <c r="B340" s="3">
        <f>IF(B339=LISTES!$C$2,LISTES!$C$3,LISTES!$C$2)</f>
        <v/>
      </c>
      <c r="C340" s="4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4" t="n"/>
    </row>
    <row r="341">
      <c r="A341" s="6">
        <f>IF(B341=LISTES!$C$2,A340+1,A340)</f>
        <v/>
      </c>
      <c r="B341" s="7">
        <f>IF(B340=LISTES!$C$2,LISTES!$C$3,LISTES!$C$2)</f>
        <v/>
      </c>
      <c r="C341" s="8" t="n"/>
      <c r="D341" s="8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8" t="n"/>
    </row>
    <row r="342">
      <c r="A342" s="2">
        <f>IF(B342=LISTES!$C$2,A341+1,A341)</f>
        <v/>
      </c>
      <c r="B342" s="3">
        <f>IF(B341=LISTES!$C$2,LISTES!$C$3,LISTES!$C$2)</f>
        <v/>
      </c>
      <c r="C342" s="4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4" t="n"/>
    </row>
    <row r="343">
      <c r="A343" s="6">
        <f>IF(B343=LISTES!$C$2,A342+1,A342)</f>
        <v/>
      </c>
      <c r="B343" s="7">
        <f>IF(B342=LISTES!$C$2,LISTES!$C$3,LISTES!$C$2)</f>
        <v/>
      </c>
      <c r="C343" s="8" t="n"/>
      <c r="D343" s="8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8" t="n"/>
    </row>
    <row r="344">
      <c r="A344" s="2">
        <f>IF(B344=LISTES!$C$2,A343+1,A343)</f>
        <v/>
      </c>
      <c r="B344" s="3">
        <f>IF(B343=LISTES!$C$2,LISTES!$C$3,LISTES!$C$2)</f>
        <v/>
      </c>
      <c r="C344" s="4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4" t="n"/>
    </row>
    <row r="345">
      <c r="A345" s="6">
        <f>IF(B345=LISTES!$C$2,A344+1,A344)</f>
        <v/>
      </c>
      <c r="B345" s="7">
        <f>IF(B344=LISTES!$C$2,LISTES!$C$3,LISTES!$C$2)</f>
        <v/>
      </c>
      <c r="C345" s="8" t="n"/>
      <c r="D345" s="8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8" t="n"/>
    </row>
    <row r="346">
      <c r="A346" s="2">
        <f>IF(B346=LISTES!$C$2,A345+1,A345)</f>
        <v/>
      </c>
      <c r="B346" s="3">
        <f>IF(B345=LISTES!$C$2,LISTES!$C$3,LISTES!$C$2)</f>
        <v/>
      </c>
      <c r="C346" s="4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4" t="n"/>
    </row>
    <row r="347">
      <c r="A347" s="6">
        <f>IF(B347=LISTES!$C$2,A346+1,A346)</f>
        <v/>
      </c>
      <c r="B347" s="7">
        <f>IF(B346=LISTES!$C$2,LISTES!$C$3,LISTES!$C$2)</f>
        <v/>
      </c>
      <c r="C347" s="8" t="n"/>
      <c r="D347" s="8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8" t="n"/>
    </row>
    <row r="348">
      <c r="A348" s="2">
        <f>IF(B348=LISTES!$C$2,A347+1,A347)</f>
        <v/>
      </c>
      <c r="B348" s="3">
        <f>IF(B347=LISTES!$C$2,LISTES!$C$3,LISTES!$C$2)</f>
        <v/>
      </c>
      <c r="C348" s="4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4" t="n"/>
    </row>
    <row r="349">
      <c r="A349" s="6">
        <f>IF(B349=LISTES!$C$2,A348+1,A348)</f>
        <v/>
      </c>
      <c r="B349" s="7">
        <f>IF(B348=LISTES!$C$2,LISTES!$C$3,LISTES!$C$2)</f>
        <v/>
      </c>
      <c r="C349" s="8" t="n"/>
      <c r="D349" s="8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8" t="n"/>
    </row>
    <row r="350">
      <c r="A350" s="2">
        <f>IF(B350=LISTES!$C$2,A349+1,A349)</f>
        <v/>
      </c>
      <c r="B350" s="3">
        <f>IF(B349=LISTES!$C$2,LISTES!$C$3,LISTES!$C$2)</f>
        <v/>
      </c>
      <c r="C350" s="4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4" t="n"/>
    </row>
    <row r="351">
      <c r="A351" s="6">
        <f>IF(B351=LISTES!$C$2,A350+1,A350)</f>
        <v/>
      </c>
      <c r="B351" s="7">
        <f>IF(B350=LISTES!$C$2,LISTES!$C$3,LISTES!$C$2)</f>
        <v/>
      </c>
      <c r="C351" s="8" t="n"/>
      <c r="D351" s="8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8" t="n"/>
    </row>
    <row r="352">
      <c r="A352" s="2">
        <f>IF(B352=LISTES!$C$2,A351+1,A351)</f>
        <v/>
      </c>
      <c r="B352" s="3">
        <f>IF(B351=LISTES!$C$2,LISTES!$C$3,LISTES!$C$2)</f>
        <v/>
      </c>
      <c r="C352" s="4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4" t="n"/>
    </row>
    <row r="353">
      <c r="A353" s="6">
        <f>IF(B353=LISTES!$C$2,A352+1,A352)</f>
        <v/>
      </c>
      <c r="B353" s="7">
        <f>IF(B352=LISTES!$C$2,LISTES!$C$3,LISTES!$C$2)</f>
        <v/>
      </c>
      <c r="C353" s="8" t="n"/>
      <c r="D353" s="8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8" t="n"/>
    </row>
    <row r="354">
      <c r="A354" s="2">
        <f>IF(B354=LISTES!$C$2,A353+1,A353)</f>
        <v/>
      </c>
      <c r="B354" s="3">
        <f>IF(B353=LISTES!$C$2,LISTES!$C$3,LISTES!$C$2)</f>
        <v/>
      </c>
      <c r="C354" s="4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4" t="n"/>
    </row>
    <row r="355">
      <c r="A355" s="6">
        <f>IF(B355=LISTES!$C$2,A354+1,A354)</f>
        <v/>
      </c>
      <c r="B355" s="7">
        <f>IF(B354=LISTES!$C$2,LISTES!$C$3,LISTES!$C$2)</f>
        <v/>
      </c>
      <c r="C355" s="8" t="n"/>
      <c r="D355" s="8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8" t="n"/>
    </row>
    <row r="356">
      <c r="A356" s="2">
        <f>IF(B356=LISTES!$C$2,A355+1,A355)</f>
        <v/>
      </c>
      <c r="B356" s="3">
        <f>IF(B355=LISTES!$C$2,LISTES!$C$3,LISTES!$C$2)</f>
        <v/>
      </c>
      <c r="C356" s="4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4" t="n"/>
    </row>
    <row r="357">
      <c r="A357" s="6">
        <f>IF(B357=LISTES!$C$2,A356+1,A356)</f>
        <v/>
      </c>
      <c r="B357" s="7">
        <f>IF(B356=LISTES!$C$2,LISTES!$C$3,LISTES!$C$2)</f>
        <v/>
      </c>
      <c r="C357" s="8" t="n"/>
      <c r="D357" s="8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8" t="n"/>
    </row>
    <row r="358">
      <c r="A358" s="2">
        <f>IF(B358=LISTES!$C$2,A357+1,A357)</f>
        <v/>
      </c>
      <c r="B358" s="3">
        <f>IF(B357=LISTES!$C$2,LISTES!$C$3,LISTES!$C$2)</f>
        <v/>
      </c>
      <c r="C358" s="4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4" t="n"/>
    </row>
    <row r="359">
      <c r="A359" s="6">
        <f>IF(B359=LISTES!$C$2,A358+1,A358)</f>
        <v/>
      </c>
      <c r="B359" s="7">
        <f>IF(B358=LISTES!$C$2,LISTES!$C$3,LISTES!$C$2)</f>
        <v/>
      </c>
      <c r="C359" s="8" t="n"/>
      <c r="D359" s="8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8" t="n"/>
    </row>
    <row r="360">
      <c r="A360" s="2">
        <f>IF(B360=LISTES!$C$2,A359+1,A359)</f>
        <v/>
      </c>
      <c r="B360" s="3">
        <f>IF(B359=LISTES!$C$2,LISTES!$C$3,LISTES!$C$2)</f>
        <v/>
      </c>
      <c r="C360" s="4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4" t="n"/>
    </row>
    <row r="361">
      <c r="A361" s="6">
        <f>IF(B361=LISTES!$C$2,A360+1,A360)</f>
        <v/>
      </c>
      <c r="B361" s="7">
        <f>IF(B360=LISTES!$C$2,LISTES!$C$3,LISTES!$C$2)</f>
        <v/>
      </c>
      <c r="C361" s="8" t="n"/>
      <c r="D361" s="8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8" t="n"/>
    </row>
    <row r="362">
      <c r="A362" s="2">
        <f>IF(B362=LISTES!$C$2,A361+1,A361)</f>
        <v/>
      </c>
      <c r="B362" s="3">
        <f>IF(B361=LISTES!$C$2,LISTES!$C$3,LISTES!$C$2)</f>
        <v/>
      </c>
      <c r="C362" s="4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4" t="n"/>
    </row>
    <row r="363">
      <c r="A363" s="6">
        <f>IF(B363=LISTES!$C$2,A362+1,A362)</f>
        <v/>
      </c>
      <c r="B363" s="7">
        <f>IF(B362=LISTES!$C$2,LISTES!$C$3,LISTES!$C$2)</f>
        <v/>
      </c>
      <c r="C363" s="8" t="n"/>
      <c r="D363" s="8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8" t="n"/>
    </row>
    <row r="364">
      <c r="A364" s="2">
        <f>IF(B364=LISTES!$C$2,A363+1,A363)</f>
        <v/>
      </c>
      <c r="B364" s="3">
        <f>IF(B363=LISTES!$C$2,LISTES!$C$3,LISTES!$C$2)</f>
        <v/>
      </c>
      <c r="C364" s="4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4" t="n"/>
    </row>
    <row r="365">
      <c r="A365" s="6">
        <f>IF(B365=LISTES!$C$2,A364+1,A364)</f>
        <v/>
      </c>
      <c r="B365" s="7">
        <f>IF(B364=LISTES!$C$2,LISTES!$C$3,LISTES!$C$2)</f>
        <v/>
      </c>
      <c r="C365" s="8" t="n"/>
      <c r="D365" s="8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8" t="n"/>
    </row>
    <row r="366">
      <c r="A366" s="2">
        <f>IF(B366=LISTES!$C$2,A365+1,A365)</f>
        <v/>
      </c>
      <c r="B366" s="3">
        <f>IF(B365=LISTES!$C$2,LISTES!$C$3,LISTES!$C$2)</f>
        <v/>
      </c>
      <c r="C366" s="4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4" t="n"/>
    </row>
    <row r="367">
      <c r="A367" s="6">
        <f>IF(B367=LISTES!$C$2,A366+1,A366)</f>
        <v/>
      </c>
      <c r="B367" s="7">
        <f>IF(B366=LISTES!$C$2,LISTES!$C$3,LISTES!$C$2)</f>
        <v/>
      </c>
      <c r="C367" s="8" t="n"/>
      <c r="D367" s="8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8" t="n"/>
    </row>
    <row r="368">
      <c r="A368" s="2">
        <f>IF(B368=LISTES!$C$2,A367+1,A367)</f>
        <v/>
      </c>
      <c r="B368" s="3">
        <f>IF(B367=LISTES!$C$2,LISTES!$C$3,LISTES!$C$2)</f>
        <v/>
      </c>
      <c r="C368" s="4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4" t="n"/>
    </row>
    <row r="369">
      <c r="A369" s="6">
        <f>IF(B369=LISTES!$C$2,A368+1,A368)</f>
        <v/>
      </c>
      <c r="B369" s="7">
        <f>IF(B368=LISTES!$C$2,LISTES!$C$3,LISTES!$C$2)</f>
        <v/>
      </c>
      <c r="C369" s="8" t="n"/>
      <c r="D369" s="8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8" t="n"/>
    </row>
    <row r="370">
      <c r="A370" s="2">
        <f>IF(B370=LISTES!$C$2,A369+1,A369)</f>
        <v/>
      </c>
      <c r="B370" s="3">
        <f>IF(B369=LISTES!$C$2,LISTES!$C$3,LISTES!$C$2)</f>
        <v/>
      </c>
      <c r="C370" s="4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4" t="n"/>
    </row>
    <row r="371">
      <c r="A371" s="6">
        <f>IF(B371=LISTES!$C$2,A370+1,A370)</f>
        <v/>
      </c>
      <c r="B371" s="7">
        <f>IF(B370=LISTES!$C$2,LISTES!$C$3,LISTES!$C$2)</f>
        <v/>
      </c>
      <c r="C371" s="8" t="n"/>
      <c r="D371" s="8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8" t="n"/>
    </row>
    <row r="372">
      <c r="A372" s="2">
        <f>IF(B372=LISTES!$C$2,A371+1,A371)</f>
        <v/>
      </c>
      <c r="B372" s="3">
        <f>IF(B371=LISTES!$C$2,LISTES!$C$3,LISTES!$C$2)</f>
        <v/>
      </c>
      <c r="C372" s="4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4" t="n"/>
    </row>
    <row r="373">
      <c r="A373" s="6">
        <f>IF(B373=LISTES!$C$2,A372+1,A372)</f>
        <v/>
      </c>
      <c r="B373" s="7">
        <f>IF(B372=LISTES!$C$2,LISTES!$C$3,LISTES!$C$2)</f>
        <v/>
      </c>
      <c r="C373" s="8" t="n"/>
      <c r="D373" s="8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8" t="n"/>
    </row>
    <row r="374">
      <c r="A374" s="2">
        <f>IF(B374=LISTES!$C$2,A373+1,A373)</f>
        <v/>
      </c>
      <c r="B374" s="3">
        <f>IF(B373=LISTES!$C$2,LISTES!$C$3,LISTES!$C$2)</f>
        <v/>
      </c>
      <c r="C374" s="4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4" t="n"/>
    </row>
    <row r="375">
      <c r="A375" s="6">
        <f>IF(B375=LISTES!$C$2,A374+1,A374)</f>
        <v/>
      </c>
      <c r="B375" s="7">
        <f>IF(B374=LISTES!$C$2,LISTES!$C$3,LISTES!$C$2)</f>
        <v/>
      </c>
      <c r="C375" s="8" t="n"/>
      <c r="D375" s="8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8" t="n"/>
    </row>
    <row r="376">
      <c r="A376" s="2">
        <f>IF(B376=LISTES!$C$2,A375+1,A375)</f>
        <v/>
      </c>
      <c r="B376" s="3">
        <f>IF(B375=LISTES!$C$2,LISTES!$C$3,LISTES!$C$2)</f>
        <v/>
      </c>
      <c r="C376" s="4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4" t="n"/>
    </row>
    <row r="377">
      <c r="A377" s="6">
        <f>IF(B377=LISTES!$C$2,A376+1,A376)</f>
        <v/>
      </c>
      <c r="B377" s="7">
        <f>IF(B376=LISTES!$C$2,LISTES!$C$3,LISTES!$C$2)</f>
        <v/>
      </c>
      <c r="C377" s="8" t="n"/>
      <c r="D377" s="8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8" t="n"/>
    </row>
    <row r="378">
      <c r="A378" s="2">
        <f>IF(B378=LISTES!$C$2,A377+1,A377)</f>
        <v/>
      </c>
      <c r="B378" s="3">
        <f>IF(B377=LISTES!$C$2,LISTES!$C$3,LISTES!$C$2)</f>
        <v/>
      </c>
      <c r="C378" s="4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4" t="n"/>
    </row>
    <row r="379">
      <c r="A379" s="6">
        <f>IF(B379=LISTES!$C$2,A378+1,A378)</f>
        <v/>
      </c>
      <c r="B379" s="7">
        <f>IF(B378=LISTES!$C$2,LISTES!$C$3,LISTES!$C$2)</f>
        <v/>
      </c>
      <c r="C379" s="8" t="n"/>
      <c r="D379" s="8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8" t="n"/>
    </row>
    <row r="380">
      <c r="A380" s="2">
        <f>IF(B380=LISTES!$C$2,A379+1,A379)</f>
        <v/>
      </c>
      <c r="B380" s="3">
        <f>IF(B379=LISTES!$C$2,LISTES!$C$3,LISTES!$C$2)</f>
        <v/>
      </c>
      <c r="C380" s="4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4" t="n"/>
    </row>
    <row r="381">
      <c r="A381" s="6">
        <f>IF(B381=LISTES!$C$2,A380+1,A380)</f>
        <v/>
      </c>
      <c r="B381" s="7">
        <f>IF(B380=LISTES!$C$2,LISTES!$C$3,LISTES!$C$2)</f>
        <v/>
      </c>
      <c r="C381" s="8" t="n"/>
      <c r="D381" s="8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8" t="n"/>
    </row>
    <row r="382">
      <c r="A382" s="2">
        <f>IF(B382=LISTES!$C$2,A381+1,A381)</f>
        <v/>
      </c>
      <c r="B382" s="3">
        <f>IF(B381=LISTES!$C$2,LISTES!$C$3,LISTES!$C$2)</f>
        <v/>
      </c>
      <c r="C382" s="4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4" t="n"/>
    </row>
    <row r="383">
      <c r="A383" s="6">
        <f>IF(B383=LISTES!$C$2,A382+1,A382)</f>
        <v/>
      </c>
      <c r="B383" s="7">
        <f>IF(B382=LISTES!$C$2,LISTES!$C$3,LISTES!$C$2)</f>
        <v/>
      </c>
      <c r="C383" s="8" t="n"/>
      <c r="D383" s="8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8" t="n"/>
    </row>
    <row r="384">
      <c r="A384" s="2">
        <f>IF(B384=LISTES!$C$2,A383+1,A383)</f>
        <v/>
      </c>
      <c r="B384" s="3">
        <f>IF(B383=LISTES!$C$2,LISTES!$C$3,LISTES!$C$2)</f>
        <v/>
      </c>
      <c r="C384" s="4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4" t="n"/>
    </row>
    <row r="385">
      <c r="A385" s="6">
        <f>IF(B385=LISTES!$C$2,A384+1,A384)</f>
        <v/>
      </c>
      <c r="B385" s="7">
        <f>IF(B384=LISTES!$C$2,LISTES!$C$3,LISTES!$C$2)</f>
        <v/>
      </c>
      <c r="C385" s="8" t="n"/>
      <c r="D385" s="8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8" t="n"/>
    </row>
    <row r="386">
      <c r="A386" s="2">
        <f>IF(B386=LISTES!$C$2,A385+1,A385)</f>
        <v/>
      </c>
      <c r="B386" s="3">
        <f>IF(B385=LISTES!$C$2,LISTES!$C$3,LISTES!$C$2)</f>
        <v/>
      </c>
      <c r="C386" s="4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4" t="n"/>
    </row>
    <row r="387">
      <c r="A387" s="6">
        <f>IF(B387=LISTES!$C$2,A386+1,A386)</f>
        <v/>
      </c>
      <c r="B387" s="7">
        <f>IF(B386=LISTES!$C$2,LISTES!$C$3,LISTES!$C$2)</f>
        <v/>
      </c>
      <c r="C387" s="8" t="n"/>
      <c r="D387" s="8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8" t="n"/>
    </row>
    <row r="388">
      <c r="A388" s="2">
        <f>IF(B388=LISTES!$C$2,A387+1,A387)</f>
        <v/>
      </c>
      <c r="B388" s="3">
        <f>IF(B387=LISTES!$C$2,LISTES!$C$3,LISTES!$C$2)</f>
        <v/>
      </c>
      <c r="C388" s="4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4" t="n"/>
    </row>
    <row r="389">
      <c r="A389" s="6">
        <f>IF(B389=LISTES!$C$2,A388+1,A388)</f>
        <v/>
      </c>
      <c r="B389" s="7">
        <f>IF(B388=LISTES!$C$2,LISTES!$C$3,LISTES!$C$2)</f>
        <v/>
      </c>
      <c r="C389" s="8" t="n"/>
      <c r="D389" s="8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8" t="n"/>
    </row>
    <row r="390">
      <c r="A390" s="2">
        <f>IF(B390=LISTES!$C$2,A389+1,A389)</f>
        <v/>
      </c>
      <c r="B390" s="3">
        <f>IF(B389=LISTES!$C$2,LISTES!$C$3,LISTES!$C$2)</f>
        <v/>
      </c>
      <c r="C390" s="4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4" t="n"/>
    </row>
    <row r="391">
      <c r="A391" s="6">
        <f>IF(B391=LISTES!$C$2,A390+1,A390)</f>
        <v/>
      </c>
      <c r="B391" s="7">
        <f>IF(B390=LISTES!$C$2,LISTES!$C$3,LISTES!$C$2)</f>
        <v/>
      </c>
      <c r="C391" s="8" t="n"/>
      <c r="D391" s="8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8" t="n"/>
    </row>
    <row r="392">
      <c r="A392" s="2">
        <f>IF(B392=LISTES!$C$2,A391+1,A391)</f>
        <v/>
      </c>
      <c r="B392" s="3">
        <f>IF(B391=LISTES!$C$2,LISTES!$C$3,LISTES!$C$2)</f>
        <v/>
      </c>
      <c r="C392" s="4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4" t="n"/>
    </row>
    <row r="393">
      <c r="A393" s="6">
        <f>IF(B393=LISTES!$C$2,A392+1,A392)</f>
        <v/>
      </c>
      <c r="B393" s="7">
        <f>IF(B392=LISTES!$C$2,LISTES!$C$3,LISTES!$C$2)</f>
        <v/>
      </c>
      <c r="C393" s="8" t="n"/>
      <c r="D393" s="8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8" t="n"/>
    </row>
    <row r="394">
      <c r="A394" s="2">
        <f>IF(B394=LISTES!$C$2,A393+1,A393)</f>
        <v/>
      </c>
      <c r="B394" s="3">
        <f>IF(B393=LISTES!$C$2,LISTES!$C$3,LISTES!$C$2)</f>
        <v/>
      </c>
      <c r="C394" s="4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4" t="n"/>
    </row>
    <row r="395">
      <c r="A395" s="6">
        <f>IF(B395=LISTES!$C$2,A394+1,A394)</f>
        <v/>
      </c>
      <c r="B395" s="7">
        <f>IF(B394=LISTES!$C$2,LISTES!$C$3,LISTES!$C$2)</f>
        <v/>
      </c>
      <c r="C395" s="8" t="n"/>
      <c r="D395" s="8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8" t="n"/>
    </row>
    <row r="396">
      <c r="A396" s="2">
        <f>IF(B396=LISTES!$C$2,A395+1,A395)</f>
        <v/>
      </c>
      <c r="B396" s="3">
        <f>IF(B395=LISTES!$C$2,LISTES!$C$3,LISTES!$C$2)</f>
        <v/>
      </c>
      <c r="C396" s="4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4" t="n"/>
    </row>
    <row r="397">
      <c r="A397" s="6">
        <f>IF(B397=LISTES!$C$2,A396+1,A396)</f>
        <v/>
      </c>
      <c r="B397" s="7">
        <f>IF(B396=LISTES!$C$2,LISTES!$C$3,LISTES!$C$2)</f>
        <v/>
      </c>
      <c r="C397" s="8" t="n"/>
      <c r="D397" s="8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8" t="n"/>
    </row>
    <row r="398">
      <c r="A398" s="2">
        <f>IF(B398=LISTES!$C$2,A397+1,A397)</f>
        <v/>
      </c>
      <c r="B398" s="3">
        <f>IF(B397=LISTES!$C$2,LISTES!$C$3,LISTES!$C$2)</f>
        <v/>
      </c>
      <c r="C398" s="4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4" t="n"/>
    </row>
    <row r="399">
      <c r="A399" s="6">
        <f>IF(B399=LISTES!$C$2,A398+1,A398)</f>
        <v/>
      </c>
      <c r="B399" s="7">
        <f>IF(B398=LISTES!$C$2,LISTES!$C$3,LISTES!$C$2)</f>
        <v/>
      </c>
      <c r="C399" s="8" t="n"/>
      <c r="D399" s="8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8" t="n"/>
    </row>
    <row r="400">
      <c r="A400" s="2">
        <f>IF(B400=LISTES!$C$2,A399+1,A399)</f>
        <v/>
      </c>
      <c r="B400" s="3">
        <f>IF(B399=LISTES!$C$2,LISTES!$C$3,LISTES!$C$2)</f>
        <v/>
      </c>
      <c r="C400" s="4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4" t="n"/>
    </row>
    <row r="401">
      <c r="A401" s="6">
        <f>IF(B401=LISTES!$C$2,A400+1,A400)</f>
        <v/>
      </c>
      <c r="B401" s="7">
        <f>IF(B400=LISTES!$C$2,LISTES!$C$3,LISTES!$C$2)</f>
        <v/>
      </c>
      <c r="C401" s="8" t="n"/>
      <c r="D401" s="8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8" t="n"/>
    </row>
    <row r="402">
      <c r="A402" s="2">
        <f>IF(B402=LISTES!$C$2,A401+1,A401)</f>
        <v/>
      </c>
      <c r="B402" s="3">
        <f>IF(B401=LISTES!$C$2,LISTES!$C$3,LISTES!$C$2)</f>
        <v/>
      </c>
      <c r="C402" s="4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4" t="n"/>
    </row>
    <row r="403">
      <c r="A403" s="6">
        <f>IF(B403=LISTES!$C$2,A402+1,A402)</f>
        <v/>
      </c>
      <c r="B403" s="7">
        <f>IF(B402=LISTES!$C$2,LISTES!$C$3,LISTES!$C$2)</f>
        <v/>
      </c>
      <c r="C403" s="8" t="n"/>
      <c r="D403" s="8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8" t="n"/>
    </row>
    <row r="404">
      <c r="A404" s="2">
        <f>IF(B404=LISTES!$C$2,A403+1,A403)</f>
        <v/>
      </c>
      <c r="B404" s="3">
        <f>IF(B403=LISTES!$C$2,LISTES!$C$3,LISTES!$C$2)</f>
        <v/>
      </c>
      <c r="C404" s="4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4" t="n"/>
    </row>
    <row r="405">
      <c r="A405" s="6">
        <f>IF(B405=LISTES!$C$2,A404+1,A404)</f>
        <v/>
      </c>
      <c r="B405" s="7">
        <f>IF(B404=LISTES!$C$2,LISTES!$C$3,LISTES!$C$2)</f>
        <v/>
      </c>
      <c r="C405" s="8" t="n"/>
      <c r="D405" s="8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8" t="n"/>
    </row>
    <row r="406">
      <c r="A406" s="2">
        <f>IF(B406=LISTES!$C$2,A405+1,A405)</f>
        <v/>
      </c>
      <c r="B406" s="3">
        <f>IF(B405=LISTES!$C$2,LISTES!$C$3,LISTES!$C$2)</f>
        <v/>
      </c>
      <c r="C406" s="4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4" t="n"/>
    </row>
    <row r="407">
      <c r="A407" s="6">
        <f>IF(B407=LISTES!$C$2,A406+1,A406)</f>
        <v/>
      </c>
      <c r="B407" s="7">
        <f>IF(B406=LISTES!$C$2,LISTES!$C$3,LISTES!$C$2)</f>
        <v/>
      </c>
      <c r="C407" s="8" t="n"/>
      <c r="D407" s="8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8" t="n"/>
    </row>
    <row r="408">
      <c r="A408" s="2">
        <f>IF(B408=LISTES!$C$2,A407+1,A407)</f>
        <v/>
      </c>
      <c r="B408" s="3">
        <f>IF(B407=LISTES!$C$2,LISTES!$C$3,LISTES!$C$2)</f>
        <v/>
      </c>
      <c r="C408" s="4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4" t="n"/>
    </row>
    <row r="409">
      <c r="A409" s="6">
        <f>IF(B409=LISTES!$C$2,A408+1,A408)</f>
        <v/>
      </c>
      <c r="B409" s="7">
        <f>IF(B408=LISTES!$C$2,LISTES!$C$3,LISTES!$C$2)</f>
        <v/>
      </c>
      <c r="C409" s="8" t="n"/>
      <c r="D409" s="8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8" t="n"/>
    </row>
    <row r="410">
      <c r="A410" s="2">
        <f>IF(B410=LISTES!$C$2,A409+1,A409)</f>
        <v/>
      </c>
      <c r="B410" s="3">
        <f>IF(B409=LISTES!$C$2,LISTES!$C$3,LISTES!$C$2)</f>
        <v/>
      </c>
      <c r="C410" s="4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4" t="n"/>
    </row>
    <row r="411">
      <c r="A411" s="6">
        <f>IF(B411=LISTES!$C$2,A410+1,A410)</f>
        <v/>
      </c>
      <c r="B411" s="7">
        <f>IF(B410=LISTES!$C$2,LISTES!$C$3,LISTES!$C$2)</f>
        <v/>
      </c>
      <c r="C411" s="8" t="n"/>
      <c r="D411" s="8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8" t="n"/>
    </row>
    <row r="412">
      <c r="A412" s="2">
        <f>IF(B412=LISTES!$C$2,A411+1,A411)</f>
        <v/>
      </c>
      <c r="B412" s="3">
        <f>IF(B411=LISTES!$C$2,LISTES!$C$3,LISTES!$C$2)</f>
        <v/>
      </c>
      <c r="C412" s="4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4" t="n"/>
    </row>
    <row r="413">
      <c r="A413" s="6">
        <f>IF(B413=LISTES!$C$2,A412+1,A412)</f>
        <v/>
      </c>
      <c r="B413" s="7">
        <f>IF(B412=LISTES!$C$2,LISTES!$C$3,LISTES!$C$2)</f>
        <v/>
      </c>
      <c r="C413" s="8" t="n"/>
      <c r="D413" s="8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8" t="n"/>
    </row>
    <row r="414">
      <c r="A414" s="2">
        <f>IF(B414=LISTES!$C$2,A413+1,A413)</f>
        <v/>
      </c>
      <c r="B414" s="3">
        <f>IF(B413=LISTES!$C$2,LISTES!$C$3,LISTES!$C$2)</f>
        <v/>
      </c>
      <c r="C414" s="4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4" t="n"/>
    </row>
    <row r="415">
      <c r="A415" s="6">
        <f>IF(B415=LISTES!$C$2,A414+1,A414)</f>
        <v/>
      </c>
      <c r="B415" s="7">
        <f>IF(B414=LISTES!$C$2,LISTES!$C$3,LISTES!$C$2)</f>
        <v/>
      </c>
      <c r="C415" s="8" t="n"/>
      <c r="D415" s="8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8" t="n"/>
    </row>
    <row r="416">
      <c r="A416" s="2">
        <f>IF(B416=LISTES!$C$2,A415+1,A415)</f>
        <v/>
      </c>
      <c r="B416" s="3">
        <f>IF(B415=LISTES!$C$2,LISTES!$C$3,LISTES!$C$2)</f>
        <v/>
      </c>
      <c r="C416" s="4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4" t="n"/>
    </row>
    <row r="417">
      <c r="A417" s="6">
        <f>IF(B417=LISTES!$C$2,A416+1,A416)</f>
        <v/>
      </c>
      <c r="B417" s="7">
        <f>IF(B416=LISTES!$C$2,LISTES!$C$3,LISTES!$C$2)</f>
        <v/>
      </c>
      <c r="C417" s="8" t="n"/>
      <c r="D417" s="8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8" t="n"/>
    </row>
    <row r="418">
      <c r="A418" s="2">
        <f>IF(B418=LISTES!$C$2,A417+1,A417)</f>
        <v/>
      </c>
      <c r="B418" s="3">
        <f>IF(B417=LISTES!$C$2,LISTES!$C$3,LISTES!$C$2)</f>
        <v/>
      </c>
      <c r="C418" s="4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4" t="n"/>
    </row>
    <row r="419">
      <c r="A419" s="6">
        <f>IF(B419=LISTES!$C$2,A418+1,A418)</f>
        <v/>
      </c>
      <c r="B419" s="7">
        <f>IF(B418=LISTES!$C$2,LISTES!$C$3,LISTES!$C$2)</f>
        <v/>
      </c>
      <c r="C419" s="8" t="n"/>
      <c r="D419" s="8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8" t="n"/>
    </row>
    <row r="420">
      <c r="A420" s="2">
        <f>IF(B420=LISTES!$C$2,A419+1,A419)</f>
        <v/>
      </c>
      <c r="B420" s="3">
        <f>IF(B419=LISTES!$C$2,LISTES!$C$3,LISTES!$C$2)</f>
        <v/>
      </c>
      <c r="C420" s="4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4" t="n"/>
    </row>
    <row r="421">
      <c r="A421" s="6">
        <f>IF(B421=LISTES!$C$2,A420+1,A420)</f>
        <v/>
      </c>
      <c r="B421" s="7">
        <f>IF(B420=LISTES!$C$2,LISTES!$C$3,LISTES!$C$2)</f>
        <v/>
      </c>
      <c r="C421" s="8" t="n"/>
      <c r="D421" s="8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8" t="n"/>
    </row>
    <row r="422">
      <c r="A422" s="2">
        <f>IF(B422=LISTES!$C$2,A421+1,A421)</f>
        <v/>
      </c>
      <c r="B422" s="3">
        <f>IF(B421=LISTES!$C$2,LISTES!$C$3,LISTES!$C$2)</f>
        <v/>
      </c>
      <c r="C422" s="4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4" t="n"/>
    </row>
    <row r="423">
      <c r="A423" s="6">
        <f>IF(B423=LISTES!$C$2,A422+1,A422)</f>
        <v/>
      </c>
      <c r="B423" s="7">
        <f>IF(B422=LISTES!$C$2,LISTES!$C$3,LISTES!$C$2)</f>
        <v/>
      </c>
      <c r="C423" s="8" t="n"/>
      <c r="D423" s="8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8" t="n"/>
    </row>
    <row r="424">
      <c r="A424" s="2">
        <f>IF(B424=LISTES!$C$2,A423+1,A423)</f>
        <v/>
      </c>
      <c r="B424" s="3">
        <f>IF(B423=LISTES!$C$2,LISTES!$C$3,LISTES!$C$2)</f>
        <v/>
      </c>
      <c r="C424" s="4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4" t="n"/>
    </row>
    <row r="425">
      <c r="A425" s="6">
        <f>IF(B425=LISTES!$C$2,A424+1,A424)</f>
        <v/>
      </c>
      <c r="B425" s="7">
        <f>IF(B424=LISTES!$C$2,LISTES!$C$3,LISTES!$C$2)</f>
        <v/>
      </c>
      <c r="C425" s="8" t="n"/>
      <c r="D425" s="8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8" t="n"/>
    </row>
    <row r="426">
      <c r="A426" s="2">
        <f>IF(B426=LISTES!$C$2,A425+1,A425)</f>
        <v/>
      </c>
      <c r="B426" s="3">
        <f>IF(B425=LISTES!$C$2,LISTES!$C$3,LISTES!$C$2)</f>
        <v/>
      </c>
      <c r="C426" s="4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4" t="n"/>
    </row>
    <row r="427">
      <c r="A427" s="6">
        <f>IF(B427=LISTES!$C$2,A426+1,A426)</f>
        <v/>
      </c>
      <c r="B427" s="7">
        <f>IF(B426=LISTES!$C$2,LISTES!$C$3,LISTES!$C$2)</f>
        <v/>
      </c>
      <c r="C427" s="8" t="n"/>
      <c r="D427" s="8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8" t="n"/>
    </row>
    <row r="428">
      <c r="A428" s="2">
        <f>IF(B428=LISTES!$C$2,A427+1,A427)</f>
        <v/>
      </c>
      <c r="B428" s="3">
        <f>IF(B427=LISTES!$C$2,LISTES!$C$3,LISTES!$C$2)</f>
        <v/>
      </c>
      <c r="C428" s="4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4" t="n"/>
    </row>
    <row r="429">
      <c r="A429" s="6">
        <f>IF(B429=LISTES!$C$2,A428+1,A428)</f>
        <v/>
      </c>
      <c r="B429" s="7">
        <f>IF(B428=LISTES!$C$2,LISTES!$C$3,LISTES!$C$2)</f>
        <v/>
      </c>
      <c r="C429" s="8" t="n"/>
      <c r="D429" s="8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8" t="n"/>
    </row>
    <row r="430">
      <c r="A430" s="2">
        <f>IF(B430=LISTES!$C$2,A429+1,A429)</f>
        <v/>
      </c>
      <c r="B430" s="3">
        <f>IF(B429=LISTES!$C$2,LISTES!$C$3,LISTES!$C$2)</f>
        <v/>
      </c>
      <c r="C430" s="4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4" t="n"/>
    </row>
    <row r="431">
      <c r="A431" s="6">
        <f>IF(B431=LISTES!$C$2,A430+1,A430)</f>
        <v/>
      </c>
      <c r="B431" s="7">
        <f>IF(B430=LISTES!$C$2,LISTES!$C$3,LISTES!$C$2)</f>
        <v/>
      </c>
      <c r="C431" s="8" t="n"/>
      <c r="D431" s="8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8" t="n"/>
    </row>
    <row r="432">
      <c r="A432" s="2">
        <f>IF(B432=LISTES!$C$2,A431+1,A431)</f>
        <v/>
      </c>
      <c r="B432" s="3">
        <f>IF(B431=LISTES!$C$2,LISTES!$C$3,LISTES!$C$2)</f>
        <v/>
      </c>
      <c r="C432" s="4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4" t="n"/>
    </row>
    <row r="433">
      <c r="A433" s="6">
        <f>IF(B433=LISTES!$C$2,A432+1,A432)</f>
        <v/>
      </c>
      <c r="B433" s="7">
        <f>IF(B432=LISTES!$C$2,LISTES!$C$3,LISTES!$C$2)</f>
        <v/>
      </c>
      <c r="C433" s="8" t="n"/>
      <c r="D433" s="8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8" t="n"/>
    </row>
    <row r="434">
      <c r="A434" s="2">
        <f>IF(B434=LISTES!$C$2,A433+1,A433)</f>
        <v/>
      </c>
      <c r="B434" s="3">
        <f>IF(B433=LISTES!$C$2,LISTES!$C$3,LISTES!$C$2)</f>
        <v/>
      </c>
      <c r="C434" s="4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4" t="n"/>
    </row>
    <row r="435">
      <c r="A435" s="6">
        <f>IF(B435=LISTES!$C$2,A434+1,A434)</f>
        <v/>
      </c>
      <c r="B435" s="7">
        <f>IF(B434=LISTES!$C$2,LISTES!$C$3,LISTES!$C$2)</f>
        <v/>
      </c>
      <c r="C435" s="8" t="n"/>
      <c r="D435" s="8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8" t="n"/>
    </row>
    <row r="436">
      <c r="A436" s="2">
        <f>IF(B436=LISTES!$C$2,A435+1,A435)</f>
        <v/>
      </c>
      <c r="B436" s="3">
        <f>IF(B435=LISTES!$C$2,LISTES!$C$3,LISTES!$C$2)</f>
        <v/>
      </c>
      <c r="C436" s="4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4" t="n"/>
    </row>
    <row r="437">
      <c r="A437" s="6">
        <f>IF(B437=LISTES!$C$2,A436+1,A436)</f>
        <v/>
      </c>
      <c r="B437" s="7">
        <f>IF(B436=LISTES!$C$2,LISTES!$C$3,LISTES!$C$2)</f>
        <v/>
      </c>
      <c r="C437" s="8" t="n"/>
      <c r="D437" s="8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8" t="n"/>
    </row>
    <row r="438">
      <c r="A438" s="2">
        <f>IF(B438=LISTES!$C$2,A437+1,A437)</f>
        <v/>
      </c>
      <c r="B438" s="3">
        <f>IF(B437=LISTES!$C$2,LISTES!$C$3,LISTES!$C$2)</f>
        <v/>
      </c>
      <c r="C438" s="4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4" t="n"/>
    </row>
    <row r="439">
      <c r="A439" s="6">
        <f>IF(B439=LISTES!$C$2,A438+1,A438)</f>
        <v/>
      </c>
      <c r="B439" s="7">
        <f>IF(B438=LISTES!$C$2,LISTES!$C$3,LISTES!$C$2)</f>
        <v/>
      </c>
      <c r="C439" s="8" t="n"/>
      <c r="D439" s="8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8" t="n"/>
    </row>
    <row r="440">
      <c r="A440" s="2">
        <f>IF(B440=LISTES!$C$2,A439+1,A439)</f>
        <v/>
      </c>
      <c r="B440" s="3">
        <f>IF(B439=LISTES!$C$2,LISTES!$C$3,LISTES!$C$2)</f>
        <v/>
      </c>
      <c r="C440" s="4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4" t="n"/>
    </row>
    <row r="441">
      <c r="A441" s="6">
        <f>IF(B441=LISTES!$C$2,A440+1,A440)</f>
        <v/>
      </c>
      <c r="B441" s="7">
        <f>IF(B440=LISTES!$C$2,LISTES!$C$3,LISTES!$C$2)</f>
        <v/>
      </c>
      <c r="C441" s="8" t="n"/>
      <c r="D441" s="8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8" t="n"/>
    </row>
    <row r="442">
      <c r="A442" s="2">
        <f>IF(B442=LISTES!$C$2,A441+1,A441)</f>
        <v/>
      </c>
      <c r="B442" s="3">
        <f>IF(B441=LISTES!$C$2,LISTES!$C$3,LISTES!$C$2)</f>
        <v/>
      </c>
      <c r="C442" s="4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4" t="n"/>
    </row>
    <row r="443">
      <c r="A443" s="6">
        <f>IF(B443=LISTES!$C$2,A442+1,A442)</f>
        <v/>
      </c>
      <c r="B443" s="7">
        <f>IF(B442=LISTES!$C$2,LISTES!$C$3,LISTES!$C$2)</f>
        <v/>
      </c>
      <c r="C443" s="8" t="n"/>
      <c r="D443" s="8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8" t="n"/>
    </row>
    <row r="444">
      <c r="A444" s="2">
        <f>IF(B444=LISTES!$C$2,A443+1,A443)</f>
        <v/>
      </c>
      <c r="B444" s="3">
        <f>IF(B443=LISTES!$C$2,LISTES!$C$3,LISTES!$C$2)</f>
        <v/>
      </c>
      <c r="C444" s="4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4" t="n"/>
    </row>
    <row r="445">
      <c r="A445" s="6">
        <f>IF(B445=LISTES!$C$2,A444+1,A444)</f>
        <v/>
      </c>
      <c r="B445" s="7">
        <f>IF(B444=LISTES!$C$2,LISTES!$C$3,LISTES!$C$2)</f>
        <v/>
      </c>
      <c r="C445" s="8" t="n"/>
      <c r="D445" s="8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8" t="n"/>
    </row>
    <row r="446">
      <c r="A446" s="2">
        <f>IF(B446=LISTES!$C$2,A445+1,A445)</f>
        <v/>
      </c>
      <c r="B446" s="3">
        <f>IF(B445=LISTES!$C$2,LISTES!$C$3,LISTES!$C$2)</f>
        <v/>
      </c>
      <c r="C446" s="4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4" t="n"/>
    </row>
    <row r="447">
      <c r="A447" s="6">
        <f>IF(B447=LISTES!$C$2,A446+1,A446)</f>
        <v/>
      </c>
      <c r="B447" s="7">
        <f>IF(B446=LISTES!$C$2,LISTES!$C$3,LISTES!$C$2)</f>
        <v/>
      </c>
      <c r="C447" s="8" t="n"/>
      <c r="D447" s="8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8" t="n"/>
    </row>
    <row r="448">
      <c r="A448" s="2">
        <f>IF(B448=LISTES!$C$2,A447+1,A447)</f>
        <v/>
      </c>
      <c r="B448" s="3">
        <f>IF(B447=LISTES!$C$2,LISTES!$C$3,LISTES!$C$2)</f>
        <v/>
      </c>
      <c r="C448" s="4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4" t="n"/>
    </row>
    <row r="449">
      <c r="A449" s="6">
        <f>IF(B449=LISTES!$C$2,A448+1,A448)</f>
        <v/>
      </c>
      <c r="B449" s="7">
        <f>IF(B448=LISTES!$C$2,LISTES!$C$3,LISTES!$C$2)</f>
        <v/>
      </c>
      <c r="C449" s="8" t="n"/>
      <c r="D449" s="8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8" t="n"/>
    </row>
    <row r="450">
      <c r="A450" s="2">
        <f>IF(B450=LISTES!$C$2,A449+1,A449)</f>
        <v/>
      </c>
      <c r="B450" s="3">
        <f>IF(B449=LISTES!$C$2,LISTES!$C$3,LISTES!$C$2)</f>
        <v/>
      </c>
      <c r="C450" s="4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4" t="n"/>
    </row>
    <row r="451">
      <c r="A451" s="6">
        <f>IF(B451=LISTES!$C$2,A450+1,A450)</f>
        <v/>
      </c>
      <c r="B451" s="7">
        <f>IF(B450=LISTES!$C$2,LISTES!$C$3,LISTES!$C$2)</f>
        <v/>
      </c>
      <c r="C451" s="8" t="n"/>
      <c r="D451" s="8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8" t="n"/>
    </row>
    <row r="452">
      <c r="A452" s="2">
        <f>IF(B452=LISTES!$C$2,A451+1,A451)</f>
        <v/>
      </c>
      <c r="B452" s="3">
        <f>IF(B451=LISTES!$C$2,LISTES!$C$3,LISTES!$C$2)</f>
        <v/>
      </c>
      <c r="C452" s="4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4" t="n"/>
    </row>
    <row r="453">
      <c r="A453" s="6">
        <f>IF(B453=LISTES!$C$2,A452+1,A452)</f>
        <v/>
      </c>
      <c r="B453" s="7">
        <f>IF(B452=LISTES!$C$2,LISTES!$C$3,LISTES!$C$2)</f>
        <v/>
      </c>
      <c r="C453" s="8" t="n"/>
      <c r="D453" s="8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8" t="n"/>
    </row>
    <row r="454">
      <c r="A454" s="2">
        <f>IF(B454=LISTES!$C$2,A453+1,A453)</f>
        <v/>
      </c>
      <c r="B454" s="3">
        <f>IF(B453=LISTES!$C$2,LISTES!$C$3,LISTES!$C$2)</f>
        <v/>
      </c>
      <c r="C454" s="4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4" t="n"/>
    </row>
    <row r="455">
      <c r="A455" s="6">
        <f>IF(B455=LISTES!$C$2,A454+1,A454)</f>
        <v/>
      </c>
      <c r="B455" s="7">
        <f>IF(B454=LISTES!$C$2,LISTES!$C$3,LISTES!$C$2)</f>
        <v/>
      </c>
      <c r="C455" s="8" t="n"/>
      <c r="D455" s="8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8" t="n"/>
    </row>
    <row r="456">
      <c r="A456" s="2">
        <f>IF(B456=LISTES!$C$2,A455+1,A455)</f>
        <v/>
      </c>
      <c r="B456" s="3">
        <f>IF(B455=LISTES!$C$2,LISTES!$C$3,LISTES!$C$2)</f>
        <v/>
      </c>
      <c r="C456" s="4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4" t="n"/>
    </row>
    <row r="457">
      <c r="A457" s="6">
        <f>IF(B457=LISTES!$C$2,A456+1,A456)</f>
        <v/>
      </c>
      <c r="B457" s="7">
        <f>IF(B456=LISTES!$C$2,LISTES!$C$3,LISTES!$C$2)</f>
        <v/>
      </c>
      <c r="C457" s="8" t="n"/>
      <c r="D457" s="8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8" t="n"/>
    </row>
    <row r="458">
      <c r="A458" s="2">
        <f>IF(B458=LISTES!$C$2,A457+1,A457)</f>
        <v/>
      </c>
      <c r="B458" s="3">
        <f>IF(B457=LISTES!$C$2,LISTES!$C$3,LISTES!$C$2)</f>
        <v/>
      </c>
      <c r="C458" s="4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4" t="n"/>
    </row>
    <row r="459">
      <c r="A459" s="6">
        <f>IF(B459=LISTES!$C$2,A458+1,A458)</f>
        <v/>
      </c>
      <c r="B459" s="7">
        <f>IF(B458=LISTES!$C$2,LISTES!$C$3,LISTES!$C$2)</f>
        <v/>
      </c>
      <c r="C459" s="8" t="n"/>
      <c r="D459" s="8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8" t="n"/>
    </row>
    <row r="460">
      <c r="A460" s="2">
        <f>IF(B460=LISTES!$C$2,A459+1,A459)</f>
        <v/>
      </c>
      <c r="B460" s="3">
        <f>IF(B459=LISTES!$C$2,LISTES!$C$3,LISTES!$C$2)</f>
        <v/>
      </c>
      <c r="C460" s="4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4" t="n"/>
    </row>
    <row r="461">
      <c r="A461" s="6">
        <f>IF(B461=LISTES!$C$2,A460+1,A460)</f>
        <v/>
      </c>
      <c r="B461" s="7">
        <f>IF(B460=LISTES!$C$2,LISTES!$C$3,LISTES!$C$2)</f>
        <v/>
      </c>
      <c r="C461" s="8" t="n"/>
      <c r="D461" s="8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8" t="n"/>
    </row>
    <row r="462">
      <c r="A462" s="2">
        <f>IF(B462=LISTES!$C$2,A461+1,A461)</f>
        <v/>
      </c>
      <c r="B462" s="3">
        <f>IF(B461=LISTES!$C$2,LISTES!$C$3,LISTES!$C$2)</f>
        <v/>
      </c>
      <c r="C462" s="4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4" t="n"/>
    </row>
    <row r="463">
      <c r="A463" s="6">
        <f>IF(B463=LISTES!$C$2,A462+1,A462)</f>
        <v/>
      </c>
      <c r="B463" s="7">
        <f>IF(B462=LISTES!$C$2,LISTES!$C$3,LISTES!$C$2)</f>
        <v/>
      </c>
      <c r="C463" s="8" t="n"/>
      <c r="D463" s="8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8" t="n"/>
    </row>
    <row r="464">
      <c r="A464" s="2">
        <f>IF(B464=LISTES!$C$2,A463+1,A463)</f>
        <v/>
      </c>
      <c r="B464" s="3">
        <f>IF(B463=LISTES!$C$2,LISTES!$C$3,LISTES!$C$2)</f>
        <v/>
      </c>
      <c r="C464" s="4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4" t="n"/>
    </row>
    <row r="465">
      <c r="A465" s="6">
        <f>IF(B465=LISTES!$C$2,A464+1,A464)</f>
        <v/>
      </c>
      <c r="B465" s="7">
        <f>IF(B464=LISTES!$C$2,LISTES!$C$3,LISTES!$C$2)</f>
        <v/>
      </c>
      <c r="C465" s="8" t="n"/>
      <c r="D465" s="8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8" t="n"/>
    </row>
    <row r="466">
      <c r="A466" s="2">
        <f>IF(B466=LISTES!$C$2,A465+1,A465)</f>
        <v/>
      </c>
      <c r="B466" s="3">
        <f>IF(B465=LISTES!$C$2,LISTES!$C$3,LISTES!$C$2)</f>
        <v/>
      </c>
      <c r="C466" s="4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4" t="n"/>
    </row>
    <row r="467">
      <c r="A467" s="6">
        <f>IF(B467=LISTES!$C$2,A466+1,A466)</f>
        <v/>
      </c>
      <c r="B467" s="7">
        <f>IF(B466=LISTES!$C$2,LISTES!$C$3,LISTES!$C$2)</f>
        <v/>
      </c>
      <c r="C467" s="8" t="n"/>
      <c r="D467" s="8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8" t="n"/>
    </row>
    <row r="468">
      <c r="A468" s="2">
        <f>IF(B468=LISTES!$C$2,A467+1,A467)</f>
        <v/>
      </c>
      <c r="B468" s="3">
        <f>IF(B467=LISTES!$C$2,LISTES!$C$3,LISTES!$C$2)</f>
        <v/>
      </c>
      <c r="C468" s="4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4" t="n"/>
    </row>
    <row r="469">
      <c r="A469" s="6">
        <f>IF(B469=LISTES!$C$2,A468+1,A468)</f>
        <v/>
      </c>
      <c r="B469" s="7">
        <f>IF(B468=LISTES!$C$2,LISTES!$C$3,LISTES!$C$2)</f>
        <v/>
      </c>
      <c r="C469" s="8" t="n"/>
      <c r="D469" s="8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8" t="n"/>
    </row>
    <row r="470">
      <c r="A470" s="2">
        <f>IF(B470=LISTES!$C$2,A469+1,A469)</f>
        <v/>
      </c>
      <c r="B470" s="3">
        <f>IF(B469=LISTES!$C$2,LISTES!$C$3,LISTES!$C$2)</f>
        <v/>
      </c>
      <c r="C470" s="4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4" t="n"/>
    </row>
    <row r="471">
      <c r="A471" s="6">
        <f>IF(B471=LISTES!$C$2,A470+1,A470)</f>
        <v/>
      </c>
      <c r="B471" s="7">
        <f>IF(B470=LISTES!$C$2,LISTES!$C$3,LISTES!$C$2)</f>
        <v/>
      </c>
      <c r="C471" s="8" t="n"/>
      <c r="D471" s="8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8" t="n"/>
    </row>
    <row r="472">
      <c r="A472" s="2">
        <f>IF(B472=LISTES!$C$2,A471+1,A471)</f>
        <v/>
      </c>
      <c r="B472" s="3">
        <f>IF(B471=LISTES!$C$2,LISTES!$C$3,LISTES!$C$2)</f>
        <v/>
      </c>
      <c r="C472" s="4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4" t="n"/>
    </row>
    <row r="473">
      <c r="A473" s="6">
        <f>IF(B473=LISTES!$C$2,A472+1,A472)</f>
        <v/>
      </c>
      <c r="B473" s="7">
        <f>IF(B472=LISTES!$C$2,LISTES!$C$3,LISTES!$C$2)</f>
        <v/>
      </c>
      <c r="C473" s="8" t="n"/>
      <c r="D473" s="8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8" t="n"/>
    </row>
    <row r="474">
      <c r="A474" s="2">
        <f>IF(B474=LISTES!$C$2,A473+1,A473)</f>
        <v/>
      </c>
      <c r="B474" s="3">
        <f>IF(B473=LISTES!$C$2,LISTES!$C$3,LISTES!$C$2)</f>
        <v/>
      </c>
      <c r="C474" s="4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4" t="n"/>
    </row>
    <row r="475">
      <c r="A475" s="6">
        <f>IF(B475=LISTES!$C$2,A474+1,A474)</f>
        <v/>
      </c>
      <c r="B475" s="7">
        <f>IF(B474=LISTES!$C$2,LISTES!$C$3,LISTES!$C$2)</f>
        <v/>
      </c>
      <c r="C475" s="8" t="n"/>
      <c r="D475" s="8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8" t="n"/>
    </row>
    <row r="476">
      <c r="A476" s="2">
        <f>IF(B476=LISTES!$C$2,A475+1,A475)</f>
        <v/>
      </c>
      <c r="B476" s="3">
        <f>IF(B475=LISTES!$C$2,LISTES!$C$3,LISTES!$C$2)</f>
        <v/>
      </c>
      <c r="C476" s="4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4" t="n"/>
    </row>
    <row r="477">
      <c r="A477" s="6">
        <f>IF(B477=LISTES!$C$2,A476+1,A476)</f>
        <v/>
      </c>
      <c r="B477" s="7">
        <f>IF(B476=LISTES!$C$2,LISTES!$C$3,LISTES!$C$2)</f>
        <v/>
      </c>
      <c r="C477" s="8" t="n"/>
      <c r="D477" s="8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8" t="n"/>
    </row>
    <row r="478">
      <c r="A478" s="2">
        <f>IF(B478=LISTES!$C$2,A477+1,A477)</f>
        <v/>
      </c>
      <c r="B478" s="3">
        <f>IF(B477=LISTES!$C$2,LISTES!$C$3,LISTES!$C$2)</f>
        <v/>
      </c>
      <c r="C478" s="4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4" t="n"/>
    </row>
    <row r="479">
      <c r="A479" s="6">
        <f>IF(B479=LISTES!$C$2,A478+1,A478)</f>
        <v/>
      </c>
      <c r="B479" s="7">
        <f>IF(B478=LISTES!$C$2,LISTES!$C$3,LISTES!$C$2)</f>
        <v/>
      </c>
      <c r="C479" s="8" t="n"/>
      <c r="D479" s="8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8" t="n"/>
    </row>
    <row r="480">
      <c r="A480" s="2">
        <f>IF(B480=LISTES!$C$2,A479+1,A479)</f>
        <v/>
      </c>
      <c r="B480" s="3">
        <f>IF(B479=LISTES!$C$2,LISTES!$C$3,LISTES!$C$2)</f>
        <v/>
      </c>
      <c r="C480" s="4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4" t="n"/>
    </row>
    <row r="481">
      <c r="A481" s="6">
        <f>IF(B481=LISTES!$C$2,A480+1,A480)</f>
        <v/>
      </c>
      <c r="B481" s="7">
        <f>IF(B480=LISTES!$C$2,LISTES!$C$3,LISTES!$C$2)</f>
        <v/>
      </c>
      <c r="C481" s="8" t="n"/>
      <c r="D481" s="8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8" t="n"/>
    </row>
    <row r="482">
      <c r="A482" s="2">
        <f>IF(B482=LISTES!$C$2,A481+1,A481)</f>
        <v/>
      </c>
      <c r="B482" s="3">
        <f>IF(B481=LISTES!$C$2,LISTES!$C$3,LISTES!$C$2)</f>
        <v/>
      </c>
      <c r="C482" s="4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4" t="n"/>
    </row>
    <row r="483">
      <c r="A483" s="6">
        <f>IF(B483=LISTES!$C$2,A482+1,A482)</f>
        <v/>
      </c>
      <c r="B483" s="7">
        <f>IF(B482=LISTES!$C$2,LISTES!$C$3,LISTES!$C$2)</f>
        <v/>
      </c>
      <c r="C483" s="8" t="n"/>
      <c r="D483" s="8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8" t="n"/>
    </row>
    <row r="484">
      <c r="A484" s="2">
        <f>IF(B484=LISTES!$C$2,A483+1,A483)</f>
        <v/>
      </c>
      <c r="B484" s="3">
        <f>IF(B483=LISTES!$C$2,LISTES!$C$3,LISTES!$C$2)</f>
        <v/>
      </c>
      <c r="C484" s="4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4" t="n"/>
    </row>
    <row r="485">
      <c r="A485" s="6">
        <f>IF(B485=LISTES!$C$2,A484+1,A484)</f>
        <v/>
      </c>
      <c r="B485" s="7">
        <f>IF(B484=LISTES!$C$2,LISTES!$C$3,LISTES!$C$2)</f>
        <v/>
      </c>
      <c r="C485" s="8" t="n"/>
      <c r="D485" s="8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8" t="n"/>
    </row>
    <row r="486">
      <c r="A486" s="2">
        <f>IF(B486=LISTES!$C$2,A485+1,A485)</f>
        <v/>
      </c>
      <c r="B486" s="3">
        <f>IF(B485=LISTES!$C$2,LISTES!$C$3,LISTES!$C$2)</f>
        <v/>
      </c>
      <c r="C486" s="4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4" t="n"/>
    </row>
    <row r="487">
      <c r="A487" s="6">
        <f>IF(B487=LISTES!$C$2,A486+1,A486)</f>
        <v/>
      </c>
      <c r="B487" s="7">
        <f>IF(B486=LISTES!$C$2,LISTES!$C$3,LISTES!$C$2)</f>
        <v/>
      </c>
      <c r="C487" s="8" t="n"/>
      <c r="D487" s="8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8" t="n"/>
    </row>
    <row r="488">
      <c r="A488" s="2">
        <f>IF(B488=LISTES!$C$2,A487+1,A487)</f>
        <v/>
      </c>
      <c r="B488" s="3">
        <f>IF(B487=LISTES!$C$2,LISTES!$C$3,LISTES!$C$2)</f>
        <v/>
      </c>
      <c r="C488" s="4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4" t="n"/>
    </row>
    <row r="489">
      <c r="A489" s="6">
        <f>IF(B489=LISTES!$C$2,A488+1,A488)</f>
        <v/>
      </c>
      <c r="B489" s="7">
        <f>IF(B488=LISTES!$C$2,LISTES!$C$3,LISTES!$C$2)</f>
        <v/>
      </c>
      <c r="C489" s="8" t="n"/>
      <c r="D489" s="8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8" t="n"/>
    </row>
    <row r="490">
      <c r="A490" s="2">
        <f>IF(B490=LISTES!$C$2,A489+1,A489)</f>
        <v/>
      </c>
      <c r="B490" s="3">
        <f>IF(B489=LISTES!$C$2,LISTES!$C$3,LISTES!$C$2)</f>
        <v/>
      </c>
      <c r="C490" s="4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4" t="n"/>
    </row>
    <row r="491">
      <c r="A491" s="6">
        <f>IF(B491=LISTES!$C$2,A490+1,A490)</f>
        <v/>
      </c>
      <c r="B491" s="7">
        <f>IF(B490=LISTES!$C$2,LISTES!$C$3,LISTES!$C$2)</f>
        <v/>
      </c>
      <c r="C491" s="8" t="n"/>
      <c r="D491" s="8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8" t="n"/>
    </row>
    <row r="492">
      <c r="A492" s="2">
        <f>IF(B492=LISTES!$C$2,A491+1,A491)</f>
        <v/>
      </c>
      <c r="B492" s="3">
        <f>IF(B491=LISTES!$C$2,LISTES!$C$3,LISTES!$C$2)</f>
        <v/>
      </c>
      <c r="C492" s="4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4" t="n"/>
    </row>
    <row r="493">
      <c r="A493" s="6">
        <f>IF(B493=LISTES!$C$2,A492+1,A492)</f>
        <v/>
      </c>
      <c r="B493" s="7">
        <f>IF(B492=LISTES!$C$2,LISTES!$C$3,LISTES!$C$2)</f>
        <v/>
      </c>
      <c r="C493" s="8" t="n"/>
      <c r="D493" s="8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8" t="n"/>
    </row>
    <row r="494">
      <c r="A494" s="2">
        <f>IF(B494=LISTES!$C$2,A493+1,A493)</f>
        <v/>
      </c>
      <c r="B494" s="3">
        <f>IF(B493=LISTES!$C$2,LISTES!$C$3,LISTES!$C$2)</f>
        <v/>
      </c>
      <c r="C494" s="4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4" t="n"/>
    </row>
    <row r="495">
      <c r="A495" s="6">
        <f>IF(B495=LISTES!$C$2,A494+1,A494)</f>
        <v/>
      </c>
      <c r="B495" s="7">
        <f>IF(B494=LISTES!$C$2,LISTES!$C$3,LISTES!$C$2)</f>
        <v/>
      </c>
      <c r="C495" s="8" t="n"/>
      <c r="D495" s="8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8" t="n"/>
    </row>
    <row r="496">
      <c r="A496" s="2">
        <f>IF(B496=LISTES!$C$2,A495+1,A495)</f>
        <v/>
      </c>
      <c r="B496" s="3">
        <f>IF(B495=LISTES!$C$2,LISTES!$C$3,LISTES!$C$2)</f>
        <v/>
      </c>
      <c r="C496" s="4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4" t="n"/>
    </row>
    <row r="497">
      <c r="A497" s="6">
        <f>IF(B497=LISTES!$C$2,A496+1,A496)</f>
        <v/>
      </c>
      <c r="B497" s="7">
        <f>IF(B496=LISTES!$C$2,LISTES!$C$3,LISTES!$C$2)</f>
        <v/>
      </c>
      <c r="C497" s="8" t="n"/>
      <c r="D497" s="8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8" t="n"/>
    </row>
    <row r="498">
      <c r="A498" s="2">
        <f>IF(B498=LISTES!$C$2,A497+1,A497)</f>
        <v/>
      </c>
      <c r="B498" s="3">
        <f>IF(B497=LISTES!$C$2,LISTES!$C$3,LISTES!$C$2)</f>
        <v/>
      </c>
      <c r="C498" s="4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4" t="n"/>
    </row>
    <row r="499">
      <c r="A499" s="6">
        <f>IF(B499=LISTES!$C$2,A498+1,A498)</f>
        <v/>
      </c>
      <c r="B499" s="7">
        <f>IF(B498=LISTES!$C$2,LISTES!$C$3,LISTES!$C$2)</f>
        <v/>
      </c>
      <c r="C499" s="8" t="n"/>
      <c r="D499" s="8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8" t="n"/>
    </row>
    <row r="500">
      <c r="A500" s="2">
        <f>IF(B500=LISTES!$C$2,A499+1,A499)</f>
        <v/>
      </c>
      <c r="B500" s="3">
        <f>IF(B499=LISTES!$C$2,LISTES!$C$3,LISTES!$C$2)</f>
        <v/>
      </c>
      <c r="C500" s="4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4" t="n"/>
    </row>
    <row r="501">
      <c r="A501" s="6">
        <f>IF(B501=LISTES!$C$2,A500+1,A500)</f>
        <v/>
      </c>
      <c r="B501" s="7">
        <f>IF(B500=LISTES!$C$2,LISTES!$C$3,LISTES!$C$2)</f>
        <v/>
      </c>
      <c r="C501" s="8" t="n"/>
      <c r="D501" s="8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8" t="n"/>
    </row>
  </sheetData>
  <dataValidations count="3">
    <dataValidation sqref="B2:B501" showDropDown="0" showInputMessage="0" showErrorMessage="0" allowBlank="1" type="list">
      <formula1>LISTES!$C$2:$C$4</formula1>
    </dataValidation>
    <dataValidation sqref="C2:C501" showDropDown="0" showInputMessage="0" showErrorMessage="0" allowBlank="1" type="list">
      <formula1>LISTES!$M$2:$M$31</formula1>
    </dataValidation>
    <dataValidation sqref="D2:D501" showDropDown="0" showInputMessage="0" showErrorMessage="0" allowBlank="1" type="list">
      <formula1>LISTES!$K$2:$K$11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18" customHeight="1">
      <c r="A1" s="10" t="inlineStr">
        <is>
          <t>▸  RTR CLASSIQUES</t>
        </is>
      </c>
    </row>
    <row r="2" ht="16" customHeight="1">
      <c r="A2" s="1" t="inlineStr">
        <is>
          <t>RTR</t>
        </is>
      </c>
      <c r="B2" s="1" t="inlineStr">
        <is>
          <t>N° IZ</t>
        </is>
      </c>
      <c r="C2" s="1" t="inlineStr">
        <is>
          <t>Type</t>
        </is>
      </c>
      <c r="D2" s="1" t="inlineStr">
        <is>
          <t>Tranche</t>
        </is>
      </c>
      <c r="E2" s="1" t="inlineStr">
        <is>
          <t>Local</t>
        </is>
      </c>
      <c r="F2" s="1" t="inlineStr">
        <is>
          <t>Prévu (mSv)</t>
        </is>
      </c>
      <c r="G2" s="1" t="inlineStr">
        <is>
          <t>Consommé (mSv)</t>
        </is>
      </c>
      <c r="H2" s="1" t="inlineStr">
        <is>
          <t>Reste (mSv)</t>
        </is>
      </c>
      <c r="I2" s="1" t="inlineStr">
        <is>
          <t>% consommé</t>
        </is>
      </c>
    </row>
    <row r="3" ht="15" customHeight="1">
      <c r="A3" s="11">
        <f>LISTES!$E$2</f>
        <v/>
      </c>
      <c r="B3" s="11" t="inlineStr">
        <is>
          <t>91528925-1</t>
        </is>
      </c>
      <c r="C3" s="11" t="inlineStr">
        <is>
          <t>Classique</t>
        </is>
      </c>
      <c r="D3" s="11" t="n">
        <v>7</v>
      </c>
      <c r="E3" s="11" t="inlineStr">
        <is>
          <t>-</t>
        </is>
      </c>
      <c r="F3" s="12" t="n">
        <v>1.716</v>
      </c>
      <c r="G3" s="12">
        <f>IF(LISTES!$E$2="",0,SUMIFS(SAISIE!$E$2:$E$501,SAISIE!$C$2:$C$501,LISTES!$E$2)+SUMIFS(SAISIE!$F$2:$F$501,SAISIE!$C$2:$C$501,LISTES!$E$2)+SUMIFS(SAISIE!$G$2:$G$501,SAISIE!$C$2:$C$501,LISTES!$E$2)+SUMIFS(SAISIE!$H$2:$H$501,SAISIE!$C$2:$C$501,LISTES!$E$2)+SUMIFS(SAISIE!$I$2:$I$501,SAISIE!$C$2:$C$501,LISTES!$E$2)+SUMIFS(SAISIE!$J$2:$J$501,SAISIE!$C$2:$C$501,LISTES!$E$2)+SUMIFS(SAISIE!$K$2:$K$501,SAISIE!$C$2:$C$501,LISTES!$E$2)+SUMIFS(SAISIE!$L$2:$L$501,SAISIE!$C$2:$C$501,LISTES!$E$2)+SUMIFS(SAISIE!$M$2:$M$501,SAISIE!$C$2:$C$501,LISTES!$E$2)+SUMIFS(SAISIE!$N$2:$N$501,SAISIE!$C$2:$C$501,LISTES!$E$2))</f>
        <v/>
      </c>
      <c r="H3" s="12">
        <f>IFERROR(IF(F3=0,"",F3-G3),"")</f>
        <v/>
      </c>
      <c r="I3" s="13">
        <f>IFERROR(IF(F3=0,"",G3/F3),"")</f>
        <v/>
      </c>
    </row>
    <row r="4" hidden="1" ht="15" customHeight="1">
      <c r="A4" s="11">
        <f>LISTES!$E$3</f>
        <v/>
      </c>
      <c r="B4" s="11" t="n"/>
      <c r="C4" s="11" t="n"/>
      <c r="D4" s="11" t="n"/>
      <c r="E4" s="11" t="n"/>
      <c r="F4" s="12" t="n"/>
      <c r="G4" s="12">
        <f>IF(LISTES!$E$3="",0,SUMIFS(SAISIE!$E$2:$E$501,SAISIE!$C$2:$C$501,LISTES!$E$3)+SUMIFS(SAISIE!$F$2:$F$501,SAISIE!$C$2:$C$501,LISTES!$E$3)+SUMIFS(SAISIE!$G$2:$G$501,SAISIE!$C$2:$C$501,LISTES!$E$3)+SUMIFS(SAISIE!$H$2:$H$501,SAISIE!$C$2:$C$501,LISTES!$E$3)+SUMIFS(SAISIE!$I$2:$I$501,SAISIE!$C$2:$C$501,LISTES!$E$3)+SUMIFS(SAISIE!$J$2:$J$501,SAISIE!$C$2:$C$501,LISTES!$E$3)+SUMIFS(SAISIE!$K$2:$K$501,SAISIE!$C$2:$C$501,LISTES!$E$3)+SUMIFS(SAISIE!$L$2:$L$501,SAISIE!$C$2:$C$501,LISTES!$E$3)+SUMIFS(SAISIE!$M$2:$M$501,SAISIE!$C$2:$C$501,LISTES!$E$3)+SUMIFS(SAISIE!$N$2:$N$501,SAISIE!$C$2:$C$501,LISTES!$E$3))</f>
        <v/>
      </c>
      <c r="H4" s="12">
        <f>IFERROR(IF(F4=0,"",F4-G4),"")</f>
        <v/>
      </c>
      <c r="I4" s="13">
        <f>IFERROR(IF(F4=0,"",G4/F4),"")</f>
        <v/>
      </c>
    </row>
    <row r="5" hidden="1" ht="15" customHeight="1">
      <c r="A5" s="11">
        <f>LISTES!$E$4</f>
        <v/>
      </c>
      <c r="B5" s="11" t="n"/>
      <c r="C5" s="11" t="n"/>
      <c r="D5" s="11" t="n"/>
      <c r="E5" s="11" t="n"/>
      <c r="F5" s="12" t="n"/>
      <c r="G5" s="12">
        <f>IF(LISTES!$E$4="",0,SUMIFS(SAISIE!$E$2:$E$501,SAISIE!$C$2:$C$501,LISTES!$E$4)+SUMIFS(SAISIE!$F$2:$F$501,SAISIE!$C$2:$C$501,LISTES!$E$4)+SUMIFS(SAISIE!$G$2:$G$501,SAISIE!$C$2:$C$501,LISTES!$E$4)+SUMIFS(SAISIE!$H$2:$H$501,SAISIE!$C$2:$C$501,LISTES!$E$4)+SUMIFS(SAISIE!$I$2:$I$501,SAISIE!$C$2:$C$501,LISTES!$E$4)+SUMIFS(SAISIE!$J$2:$J$501,SAISIE!$C$2:$C$501,LISTES!$E$4)+SUMIFS(SAISIE!$K$2:$K$501,SAISIE!$C$2:$C$501,LISTES!$E$4)+SUMIFS(SAISIE!$L$2:$L$501,SAISIE!$C$2:$C$501,LISTES!$E$4)+SUMIFS(SAISIE!$M$2:$M$501,SAISIE!$C$2:$C$501,LISTES!$E$4)+SUMIFS(SAISIE!$N$2:$N$501,SAISIE!$C$2:$C$501,LISTES!$E$4))</f>
        <v/>
      </c>
      <c r="H5" s="12">
        <f>IFERROR(IF(F5=0,"",F5-G5),"")</f>
        <v/>
      </c>
      <c r="I5" s="13">
        <f>IFERROR(IF(F5=0,"",G5/F5),"")</f>
        <v/>
      </c>
    </row>
    <row r="6" hidden="1" ht="15" customHeight="1">
      <c r="A6" s="11">
        <f>LISTES!$E$5</f>
        <v/>
      </c>
      <c r="B6" s="11" t="n"/>
      <c r="C6" s="11" t="n"/>
      <c r="D6" s="11" t="n"/>
      <c r="E6" s="11" t="n"/>
      <c r="F6" s="12" t="n"/>
      <c r="G6" s="12">
        <f>IF(LISTES!$E$5="",0,SUMIFS(SAISIE!$E$2:$E$501,SAISIE!$C$2:$C$501,LISTES!$E$5)+SUMIFS(SAISIE!$F$2:$F$501,SAISIE!$C$2:$C$501,LISTES!$E$5)+SUMIFS(SAISIE!$G$2:$G$501,SAISIE!$C$2:$C$501,LISTES!$E$5)+SUMIFS(SAISIE!$H$2:$H$501,SAISIE!$C$2:$C$501,LISTES!$E$5)+SUMIFS(SAISIE!$I$2:$I$501,SAISIE!$C$2:$C$501,LISTES!$E$5)+SUMIFS(SAISIE!$J$2:$J$501,SAISIE!$C$2:$C$501,LISTES!$E$5)+SUMIFS(SAISIE!$K$2:$K$501,SAISIE!$C$2:$C$501,LISTES!$E$5)+SUMIFS(SAISIE!$L$2:$L$501,SAISIE!$C$2:$C$501,LISTES!$E$5)+SUMIFS(SAISIE!$M$2:$M$501,SAISIE!$C$2:$C$501,LISTES!$E$5)+SUMIFS(SAISIE!$N$2:$N$501,SAISIE!$C$2:$C$501,LISTES!$E$5))</f>
        <v/>
      </c>
      <c r="H6" s="12">
        <f>IFERROR(IF(F6=0,"",F6-G6),"")</f>
        <v/>
      </c>
      <c r="I6" s="13">
        <f>IFERROR(IF(F6=0,"",G6/F6),"")</f>
        <v/>
      </c>
    </row>
    <row r="7" hidden="1" ht="15" customHeight="1">
      <c r="A7" s="11">
        <f>LISTES!$E$6</f>
        <v/>
      </c>
      <c r="B7" s="11" t="n"/>
      <c r="C7" s="11" t="n"/>
      <c r="D7" s="11" t="n"/>
      <c r="E7" s="11" t="n"/>
      <c r="F7" s="12" t="n"/>
      <c r="G7" s="12">
        <f>IF(LISTES!$E$6="",0,SUMIFS(SAISIE!$E$2:$E$501,SAISIE!$C$2:$C$501,LISTES!$E$6)+SUMIFS(SAISIE!$F$2:$F$501,SAISIE!$C$2:$C$501,LISTES!$E$6)+SUMIFS(SAISIE!$G$2:$G$501,SAISIE!$C$2:$C$501,LISTES!$E$6)+SUMIFS(SAISIE!$H$2:$H$501,SAISIE!$C$2:$C$501,LISTES!$E$6)+SUMIFS(SAISIE!$I$2:$I$501,SAISIE!$C$2:$C$501,LISTES!$E$6)+SUMIFS(SAISIE!$J$2:$J$501,SAISIE!$C$2:$C$501,LISTES!$E$6)+SUMIFS(SAISIE!$K$2:$K$501,SAISIE!$C$2:$C$501,LISTES!$E$6)+SUMIFS(SAISIE!$L$2:$L$501,SAISIE!$C$2:$C$501,LISTES!$E$6)+SUMIFS(SAISIE!$M$2:$M$501,SAISIE!$C$2:$C$501,LISTES!$E$6)+SUMIFS(SAISIE!$N$2:$N$501,SAISIE!$C$2:$C$501,LISTES!$E$6))</f>
        <v/>
      </c>
      <c r="H7" s="12">
        <f>IFERROR(IF(F7=0,"",F7-G7),"")</f>
        <v/>
      </c>
      <c r="I7" s="13">
        <f>IFERROR(IF(F7=0,"",G7/F7),"")</f>
        <v/>
      </c>
    </row>
    <row r="8" hidden="1" ht="15" customHeight="1">
      <c r="A8" s="11">
        <f>LISTES!$E$7</f>
        <v/>
      </c>
      <c r="B8" s="11" t="n"/>
      <c r="C8" s="11" t="n"/>
      <c r="D8" s="11" t="n"/>
      <c r="E8" s="11" t="n"/>
      <c r="F8" s="12" t="n"/>
      <c r="G8" s="12">
        <f>IF(LISTES!$E$7="",0,SUMIFS(SAISIE!$E$2:$E$501,SAISIE!$C$2:$C$501,LISTES!$E$7)+SUMIFS(SAISIE!$F$2:$F$501,SAISIE!$C$2:$C$501,LISTES!$E$7)+SUMIFS(SAISIE!$G$2:$G$501,SAISIE!$C$2:$C$501,LISTES!$E$7)+SUMIFS(SAISIE!$H$2:$H$501,SAISIE!$C$2:$C$501,LISTES!$E$7)+SUMIFS(SAISIE!$I$2:$I$501,SAISIE!$C$2:$C$501,LISTES!$E$7)+SUMIFS(SAISIE!$J$2:$J$501,SAISIE!$C$2:$C$501,LISTES!$E$7)+SUMIFS(SAISIE!$K$2:$K$501,SAISIE!$C$2:$C$501,LISTES!$E$7)+SUMIFS(SAISIE!$L$2:$L$501,SAISIE!$C$2:$C$501,LISTES!$E$7)+SUMIFS(SAISIE!$M$2:$M$501,SAISIE!$C$2:$C$501,LISTES!$E$7)+SUMIFS(SAISIE!$N$2:$N$501,SAISIE!$C$2:$C$501,LISTES!$E$7))</f>
        <v/>
      </c>
      <c r="H8" s="12">
        <f>IFERROR(IF(F8=0,"",F8-G8),"")</f>
        <v/>
      </c>
      <c r="I8" s="13">
        <f>IFERROR(IF(F8=0,"",G8/F8),"")</f>
        <v/>
      </c>
    </row>
    <row r="9" hidden="1" ht="15" customHeight="1">
      <c r="A9" s="11">
        <f>LISTES!$E$8</f>
        <v/>
      </c>
      <c r="B9" s="11" t="n"/>
      <c r="C9" s="11" t="n"/>
      <c r="D9" s="11" t="n"/>
      <c r="E9" s="11" t="n"/>
      <c r="F9" s="12" t="n"/>
      <c r="G9" s="12">
        <f>IF(LISTES!$E$8="",0,SUMIFS(SAISIE!$E$2:$E$501,SAISIE!$C$2:$C$501,LISTES!$E$8)+SUMIFS(SAISIE!$F$2:$F$501,SAISIE!$C$2:$C$501,LISTES!$E$8)+SUMIFS(SAISIE!$G$2:$G$501,SAISIE!$C$2:$C$501,LISTES!$E$8)+SUMIFS(SAISIE!$H$2:$H$501,SAISIE!$C$2:$C$501,LISTES!$E$8)+SUMIFS(SAISIE!$I$2:$I$501,SAISIE!$C$2:$C$501,LISTES!$E$8)+SUMIFS(SAISIE!$J$2:$J$501,SAISIE!$C$2:$C$501,LISTES!$E$8)+SUMIFS(SAISIE!$K$2:$K$501,SAISIE!$C$2:$C$501,LISTES!$E$8)+SUMIFS(SAISIE!$L$2:$L$501,SAISIE!$C$2:$C$501,LISTES!$E$8)+SUMIFS(SAISIE!$M$2:$M$501,SAISIE!$C$2:$C$501,LISTES!$E$8)+SUMIFS(SAISIE!$N$2:$N$501,SAISIE!$C$2:$C$501,LISTES!$E$8))</f>
        <v/>
      </c>
      <c r="H9" s="12">
        <f>IFERROR(IF(F9=0,"",F9-G9),"")</f>
        <v/>
      </c>
      <c r="I9" s="13">
        <f>IFERROR(IF(F9=0,"",G9/F9),"")</f>
        <v/>
      </c>
    </row>
    <row r="10" hidden="1" ht="15" customHeight="1">
      <c r="A10" s="11">
        <f>LISTES!$E$9</f>
        <v/>
      </c>
      <c r="B10" s="11" t="n"/>
      <c r="C10" s="11" t="n"/>
      <c r="D10" s="11" t="n"/>
      <c r="E10" s="11" t="n"/>
      <c r="F10" s="12" t="n"/>
      <c r="G10" s="12">
        <f>IF(LISTES!$E$9="",0,SUMIFS(SAISIE!$E$2:$E$501,SAISIE!$C$2:$C$501,LISTES!$E$9)+SUMIFS(SAISIE!$F$2:$F$501,SAISIE!$C$2:$C$501,LISTES!$E$9)+SUMIFS(SAISIE!$G$2:$G$501,SAISIE!$C$2:$C$501,LISTES!$E$9)+SUMIFS(SAISIE!$H$2:$H$501,SAISIE!$C$2:$C$501,LISTES!$E$9)+SUMIFS(SAISIE!$I$2:$I$501,SAISIE!$C$2:$C$501,LISTES!$E$9)+SUMIFS(SAISIE!$J$2:$J$501,SAISIE!$C$2:$C$501,LISTES!$E$9)+SUMIFS(SAISIE!$K$2:$K$501,SAISIE!$C$2:$C$501,LISTES!$E$9)+SUMIFS(SAISIE!$L$2:$L$501,SAISIE!$C$2:$C$501,LISTES!$E$9)+SUMIFS(SAISIE!$M$2:$M$501,SAISIE!$C$2:$C$501,LISTES!$E$9)+SUMIFS(SAISIE!$N$2:$N$501,SAISIE!$C$2:$C$501,LISTES!$E$9))</f>
        <v/>
      </c>
      <c r="H10" s="12">
        <f>IFERROR(IF(F10=0,"",F10-G10),"")</f>
        <v/>
      </c>
      <c r="I10" s="13">
        <f>IFERROR(IF(F10=0,"",G10/F10),"")</f>
        <v/>
      </c>
    </row>
    <row r="11" hidden="1" ht="15" customHeight="1">
      <c r="A11" s="11">
        <f>LISTES!$E$10</f>
        <v/>
      </c>
      <c r="B11" s="11" t="n"/>
      <c r="C11" s="11" t="n"/>
      <c r="D11" s="11" t="n"/>
      <c r="E11" s="11" t="n"/>
      <c r="F11" s="12" t="n"/>
      <c r="G11" s="12">
        <f>IF(LISTES!$E$10="",0,SUMIFS(SAISIE!$E$2:$E$501,SAISIE!$C$2:$C$501,LISTES!$E$10)+SUMIFS(SAISIE!$F$2:$F$501,SAISIE!$C$2:$C$501,LISTES!$E$10)+SUMIFS(SAISIE!$G$2:$G$501,SAISIE!$C$2:$C$501,LISTES!$E$10)+SUMIFS(SAISIE!$H$2:$H$501,SAISIE!$C$2:$C$501,LISTES!$E$10)+SUMIFS(SAISIE!$I$2:$I$501,SAISIE!$C$2:$C$501,LISTES!$E$10)+SUMIFS(SAISIE!$J$2:$J$501,SAISIE!$C$2:$C$501,LISTES!$E$10)+SUMIFS(SAISIE!$K$2:$K$501,SAISIE!$C$2:$C$501,LISTES!$E$10)+SUMIFS(SAISIE!$L$2:$L$501,SAISIE!$C$2:$C$501,LISTES!$E$10)+SUMIFS(SAISIE!$M$2:$M$501,SAISIE!$C$2:$C$501,LISTES!$E$10)+SUMIFS(SAISIE!$N$2:$N$501,SAISIE!$C$2:$C$501,LISTES!$E$10))</f>
        <v/>
      </c>
      <c r="H11" s="12">
        <f>IFERROR(IF(F11=0,"",F11-G11),"")</f>
        <v/>
      </c>
      <c r="I11" s="13">
        <f>IFERROR(IF(F11=0,"",G11/F11),"")</f>
        <v/>
      </c>
    </row>
    <row r="12" hidden="1" ht="15" customHeight="1">
      <c r="A12" s="11">
        <f>LISTES!$E$11</f>
        <v/>
      </c>
      <c r="B12" s="11" t="n"/>
      <c r="C12" s="11" t="n"/>
      <c r="D12" s="11" t="n"/>
      <c r="E12" s="11" t="n"/>
      <c r="F12" s="12" t="n"/>
      <c r="G12" s="12">
        <f>IF(LISTES!$E$11="",0,SUMIFS(SAISIE!$E$2:$E$501,SAISIE!$C$2:$C$501,LISTES!$E$11)+SUMIFS(SAISIE!$F$2:$F$501,SAISIE!$C$2:$C$501,LISTES!$E$11)+SUMIFS(SAISIE!$G$2:$G$501,SAISIE!$C$2:$C$501,LISTES!$E$11)+SUMIFS(SAISIE!$H$2:$H$501,SAISIE!$C$2:$C$501,LISTES!$E$11)+SUMIFS(SAISIE!$I$2:$I$501,SAISIE!$C$2:$C$501,LISTES!$E$11)+SUMIFS(SAISIE!$J$2:$J$501,SAISIE!$C$2:$C$501,LISTES!$E$11)+SUMIFS(SAISIE!$K$2:$K$501,SAISIE!$C$2:$C$501,LISTES!$E$11)+SUMIFS(SAISIE!$L$2:$L$501,SAISIE!$C$2:$C$501,LISTES!$E$11)+SUMIFS(SAISIE!$M$2:$M$501,SAISIE!$C$2:$C$501,LISTES!$E$11)+SUMIFS(SAISIE!$N$2:$N$501,SAISIE!$C$2:$C$501,LISTES!$E$11))</f>
        <v/>
      </c>
      <c r="H12" s="12">
        <f>IFERROR(IF(F12=0,"",F12-G12),"")</f>
        <v/>
      </c>
      <c r="I12" s="13">
        <f>IFERROR(IF(F12=0,"",G12/F12),"")</f>
        <v/>
      </c>
    </row>
    <row r="13" ht="16" customHeight="1">
      <c r="A13" s="14" t="inlineStr">
        <is>
          <t>Sous-total</t>
        </is>
      </c>
      <c r="B13" s="15" t="n"/>
      <c r="C13" s="15" t="n"/>
      <c r="D13" s="15" t="n"/>
      <c r="E13" s="15" t="n"/>
      <c r="F13" s="16">
        <f>SUMIF(F3:F12,"&lt;&gt;")</f>
        <v/>
      </c>
      <c r="G13" s="16">
        <f>SUM(G3:G12)</f>
        <v/>
      </c>
      <c r="H13" s="16">
        <f>IFERROR(IF(F13=0,"",F13-G13),"")</f>
        <v/>
      </c>
      <c r="I13" s="17">
        <f>IFERROR(IF(F13=0,"",G13/F13),"")</f>
        <v/>
      </c>
    </row>
    <row r="15" ht="18" customHeight="1">
      <c r="A15" s="18" t="inlineStr">
        <is>
          <t>▸  RTR ZONE ORANGE</t>
        </is>
      </c>
    </row>
    <row r="16" ht="16" customHeight="1">
      <c r="A16" s="1" t="inlineStr">
        <is>
          <t>RTR</t>
        </is>
      </c>
      <c r="B16" s="1" t="inlineStr">
        <is>
          <t>N° IZ</t>
        </is>
      </c>
      <c r="C16" s="1" t="inlineStr">
        <is>
          <t>Type</t>
        </is>
      </c>
      <c r="D16" s="1" t="inlineStr">
        <is>
          <t>Tranche</t>
        </is>
      </c>
      <c r="E16" s="1" t="inlineStr">
        <is>
          <t>Local</t>
        </is>
      </c>
      <c r="F16" s="1" t="inlineStr">
        <is>
          <t>Prévu (mSv)</t>
        </is>
      </c>
      <c r="G16" s="1" t="inlineStr">
        <is>
          <t>Consommé (mSv)</t>
        </is>
      </c>
      <c r="H16" s="1" t="inlineStr">
        <is>
          <t>Reste (mSv)</t>
        </is>
      </c>
      <c r="I16" s="1" t="inlineStr">
        <is>
          <t>% consommé</t>
        </is>
      </c>
    </row>
    <row r="17" ht="15" customHeight="1">
      <c r="A17" s="19">
        <f>LISTES!$G$2</f>
        <v/>
      </c>
      <c r="B17" s="19" t="n"/>
      <c r="C17" s="19" t="n"/>
      <c r="D17" s="19" t="n"/>
      <c r="E17" s="19" t="n"/>
      <c r="F17" s="20" t="n"/>
      <c r="G17" s="20">
        <f>IF(LISTES!$G$2="",0,SUMIFS(SAISIE!$E$2:$E$501,SAISIE!$C$2:$C$501,LISTES!$G$2)+SUMIFS(SAISIE!$F$2:$F$501,SAISIE!$C$2:$C$501,LISTES!$G$2)+SUMIFS(SAISIE!$G$2:$G$501,SAISIE!$C$2:$C$501,LISTES!$G$2)+SUMIFS(SAISIE!$H$2:$H$501,SAISIE!$C$2:$C$501,LISTES!$G$2)+SUMIFS(SAISIE!$I$2:$I$501,SAISIE!$C$2:$C$501,LISTES!$G$2)+SUMIFS(SAISIE!$J$2:$J$501,SAISIE!$C$2:$C$501,LISTES!$G$2)+SUMIFS(SAISIE!$K$2:$K$501,SAISIE!$C$2:$C$501,LISTES!$G$2)+SUMIFS(SAISIE!$L$2:$L$501,SAISIE!$C$2:$C$501,LISTES!$G$2)+SUMIFS(SAISIE!$M$2:$M$501,SAISIE!$C$2:$C$501,LISTES!$G$2)+SUMIFS(SAISIE!$N$2:$N$501,SAISIE!$C$2:$C$501,LISTES!$G$2))</f>
        <v/>
      </c>
      <c r="H17" s="20">
        <f>IFERROR(IF(F17=0,"",F17-G17),"")</f>
        <v/>
      </c>
      <c r="I17" s="21">
        <f>IFERROR(IF(F17=0,"",G17/F17),"")</f>
        <v/>
      </c>
    </row>
    <row r="18" hidden="1" ht="15" customHeight="1">
      <c r="A18" s="19">
        <f>LISTES!$G$3</f>
        <v/>
      </c>
      <c r="B18" s="19" t="n"/>
      <c r="C18" s="19" t="n"/>
      <c r="D18" s="19" t="n"/>
      <c r="E18" s="19" t="n"/>
      <c r="F18" s="20" t="n"/>
      <c r="G18" s="20">
        <f>IF(LISTES!$G$3="",0,SUMIFS(SAISIE!$E$2:$E$501,SAISIE!$C$2:$C$501,LISTES!$G$3)+SUMIFS(SAISIE!$F$2:$F$501,SAISIE!$C$2:$C$501,LISTES!$G$3)+SUMIFS(SAISIE!$G$2:$G$501,SAISIE!$C$2:$C$501,LISTES!$G$3)+SUMIFS(SAISIE!$H$2:$H$501,SAISIE!$C$2:$C$501,LISTES!$G$3)+SUMIFS(SAISIE!$I$2:$I$501,SAISIE!$C$2:$C$501,LISTES!$G$3)+SUMIFS(SAISIE!$J$2:$J$501,SAISIE!$C$2:$C$501,LISTES!$G$3)+SUMIFS(SAISIE!$K$2:$K$501,SAISIE!$C$2:$C$501,LISTES!$G$3)+SUMIFS(SAISIE!$L$2:$L$501,SAISIE!$C$2:$C$501,LISTES!$G$3)+SUMIFS(SAISIE!$M$2:$M$501,SAISIE!$C$2:$C$501,LISTES!$G$3)+SUMIFS(SAISIE!$N$2:$N$501,SAISIE!$C$2:$C$501,LISTES!$G$3))</f>
        <v/>
      </c>
      <c r="H18" s="20">
        <f>IFERROR(IF(F18=0,"",F18-G18),"")</f>
        <v/>
      </c>
      <c r="I18" s="21">
        <f>IFERROR(IF(F18=0,"",G18/F18),"")</f>
        <v/>
      </c>
    </row>
    <row r="19" hidden="1" ht="15" customHeight="1">
      <c r="A19" s="19">
        <f>LISTES!$G$4</f>
        <v/>
      </c>
      <c r="B19" s="19" t="n"/>
      <c r="C19" s="19" t="n"/>
      <c r="D19" s="19" t="n"/>
      <c r="E19" s="19" t="n"/>
      <c r="F19" s="20" t="n"/>
      <c r="G19" s="20">
        <f>IF(LISTES!$G$4="",0,SUMIFS(SAISIE!$E$2:$E$501,SAISIE!$C$2:$C$501,LISTES!$G$4)+SUMIFS(SAISIE!$F$2:$F$501,SAISIE!$C$2:$C$501,LISTES!$G$4)+SUMIFS(SAISIE!$G$2:$G$501,SAISIE!$C$2:$C$501,LISTES!$G$4)+SUMIFS(SAISIE!$H$2:$H$501,SAISIE!$C$2:$C$501,LISTES!$G$4)+SUMIFS(SAISIE!$I$2:$I$501,SAISIE!$C$2:$C$501,LISTES!$G$4)+SUMIFS(SAISIE!$J$2:$J$501,SAISIE!$C$2:$C$501,LISTES!$G$4)+SUMIFS(SAISIE!$K$2:$K$501,SAISIE!$C$2:$C$501,LISTES!$G$4)+SUMIFS(SAISIE!$L$2:$L$501,SAISIE!$C$2:$C$501,LISTES!$G$4)+SUMIFS(SAISIE!$M$2:$M$501,SAISIE!$C$2:$C$501,LISTES!$G$4)+SUMIFS(SAISIE!$N$2:$N$501,SAISIE!$C$2:$C$501,LISTES!$G$4))</f>
        <v/>
      </c>
      <c r="H19" s="20">
        <f>IFERROR(IF(F19=0,"",F19-G19),"")</f>
        <v/>
      </c>
      <c r="I19" s="21">
        <f>IFERROR(IF(F19=0,"",G19/F19),"")</f>
        <v/>
      </c>
    </row>
    <row r="20" hidden="1" ht="15" customHeight="1">
      <c r="A20" s="19">
        <f>LISTES!$G$5</f>
        <v/>
      </c>
      <c r="B20" s="19" t="n"/>
      <c r="C20" s="19" t="n"/>
      <c r="D20" s="19" t="n"/>
      <c r="E20" s="19" t="n"/>
      <c r="F20" s="20" t="n"/>
      <c r="G20" s="20">
        <f>IF(LISTES!$G$5="",0,SUMIFS(SAISIE!$E$2:$E$501,SAISIE!$C$2:$C$501,LISTES!$G$5)+SUMIFS(SAISIE!$F$2:$F$501,SAISIE!$C$2:$C$501,LISTES!$G$5)+SUMIFS(SAISIE!$G$2:$G$501,SAISIE!$C$2:$C$501,LISTES!$G$5)+SUMIFS(SAISIE!$H$2:$H$501,SAISIE!$C$2:$C$501,LISTES!$G$5)+SUMIFS(SAISIE!$I$2:$I$501,SAISIE!$C$2:$C$501,LISTES!$G$5)+SUMIFS(SAISIE!$J$2:$J$501,SAISIE!$C$2:$C$501,LISTES!$G$5)+SUMIFS(SAISIE!$K$2:$K$501,SAISIE!$C$2:$C$501,LISTES!$G$5)+SUMIFS(SAISIE!$L$2:$L$501,SAISIE!$C$2:$C$501,LISTES!$G$5)+SUMIFS(SAISIE!$M$2:$M$501,SAISIE!$C$2:$C$501,LISTES!$G$5)+SUMIFS(SAISIE!$N$2:$N$501,SAISIE!$C$2:$C$501,LISTES!$G$5))</f>
        <v/>
      </c>
      <c r="H20" s="20">
        <f>IFERROR(IF(F20=0,"",F20-G20),"")</f>
        <v/>
      </c>
      <c r="I20" s="21">
        <f>IFERROR(IF(F20=0,"",G20/F20),"")</f>
        <v/>
      </c>
    </row>
    <row r="21" hidden="1" ht="15" customHeight="1">
      <c r="A21" s="19">
        <f>LISTES!$G$6</f>
        <v/>
      </c>
      <c r="B21" s="19" t="n"/>
      <c r="C21" s="19" t="n"/>
      <c r="D21" s="19" t="n"/>
      <c r="E21" s="19" t="n"/>
      <c r="F21" s="20" t="n"/>
      <c r="G21" s="20">
        <f>IF(LISTES!$G$6="",0,SUMIFS(SAISIE!$E$2:$E$501,SAISIE!$C$2:$C$501,LISTES!$G$6)+SUMIFS(SAISIE!$F$2:$F$501,SAISIE!$C$2:$C$501,LISTES!$G$6)+SUMIFS(SAISIE!$G$2:$G$501,SAISIE!$C$2:$C$501,LISTES!$G$6)+SUMIFS(SAISIE!$H$2:$H$501,SAISIE!$C$2:$C$501,LISTES!$G$6)+SUMIFS(SAISIE!$I$2:$I$501,SAISIE!$C$2:$C$501,LISTES!$G$6)+SUMIFS(SAISIE!$J$2:$J$501,SAISIE!$C$2:$C$501,LISTES!$G$6)+SUMIFS(SAISIE!$K$2:$K$501,SAISIE!$C$2:$C$501,LISTES!$G$6)+SUMIFS(SAISIE!$L$2:$L$501,SAISIE!$C$2:$C$501,LISTES!$G$6)+SUMIFS(SAISIE!$M$2:$M$501,SAISIE!$C$2:$C$501,LISTES!$G$6)+SUMIFS(SAISIE!$N$2:$N$501,SAISIE!$C$2:$C$501,LISTES!$G$6))</f>
        <v/>
      </c>
      <c r="H21" s="20">
        <f>IFERROR(IF(F21=0,"",F21-G21),"")</f>
        <v/>
      </c>
      <c r="I21" s="21">
        <f>IFERROR(IF(F21=0,"",G21/F21),"")</f>
        <v/>
      </c>
    </row>
    <row r="22" hidden="1" ht="15" customHeight="1">
      <c r="A22" s="19">
        <f>LISTES!$G$7</f>
        <v/>
      </c>
      <c r="B22" s="19" t="n"/>
      <c r="C22" s="19" t="n"/>
      <c r="D22" s="19" t="n"/>
      <c r="E22" s="19" t="n"/>
      <c r="F22" s="20" t="n"/>
      <c r="G22" s="20">
        <f>IF(LISTES!$G$7="",0,SUMIFS(SAISIE!$E$2:$E$501,SAISIE!$C$2:$C$501,LISTES!$G$7)+SUMIFS(SAISIE!$F$2:$F$501,SAISIE!$C$2:$C$501,LISTES!$G$7)+SUMIFS(SAISIE!$G$2:$G$501,SAISIE!$C$2:$C$501,LISTES!$G$7)+SUMIFS(SAISIE!$H$2:$H$501,SAISIE!$C$2:$C$501,LISTES!$G$7)+SUMIFS(SAISIE!$I$2:$I$501,SAISIE!$C$2:$C$501,LISTES!$G$7)+SUMIFS(SAISIE!$J$2:$J$501,SAISIE!$C$2:$C$501,LISTES!$G$7)+SUMIFS(SAISIE!$K$2:$K$501,SAISIE!$C$2:$C$501,LISTES!$G$7)+SUMIFS(SAISIE!$L$2:$L$501,SAISIE!$C$2:$C$501,LISTES!$G$7)+SUMIFS(SAISIE!$M$2:$M$501,SAISIE!$C$2:$C$501,LISTES!$G$7)+SUMIFS(SAISIE!$N$2:$N$501,SAISIE!$C$2:$C$501,LISTES!$G$7))</f>
        <v/>
      </c>
      <c r="H22" s="20">
        <f>IFERROR(IF(F22=0,"",F22-G22),"")</f>
        <v/>
      </c>
      <c r="I22" s="21">
        <f>IFERROR(IF(F22=0,"",G22/F22),"")</f>
        <v/>
      </c>
    </row>
    <row r="23" hidden="1" ht="15" customHeight="1">
      <c r="A23" s="19">
        <f>LISTES!$G$8</f>
        <v/>
      </c>
      <c r="B23" s="19" t="n"/>
      <c r="C23" s="19" t="n"/>
      <c r="D23" s="19" t="n"/>
      <c r="E23" s="19" t="n"/>
      <c r="F23" s="20" t="n"/>
      <c r="G23" s="20">
        <f>IF(LISTES!$G$8="",0,SUMIFS(SAISIE!$E$2:$E$501,SAISIE!$C$2:$C$501,LISTES!$G$8)+SUMIFS(SAISIE!$F$2:$F$501,SAISIE!$C$2:$C$501,LISTES!$G$8)+SUMIFS(SAISIE!$G$2:$G$501,SAISIE!$C$2:$C$501,LISTES!$G$8)+SUMIFS(SAISIE!$H$2:$H$501,SAISIE!$C$2:$C$501,LISTES!$G$8)+SUMIFS(SAISIE!$I$2:$I$501,SAISIE!$C$2:$C$501,LISTES!$G$8)+SUMIFS(SAISIE!$J$2:$J$501,SAISIE!$C$2:$C$501,LISTES!$G$8)+SUMIFS(SAISIE!$K$2:$K$501,SAISIE!$C$2:$C$501,LISTES!$G$8)+SUMIFS(SAISIE!$L$2:$L$501,SAISIE!$C$2:$C$501,LISTES!$G$8)+SUMIFS(SAISIE!$M$2:$M$501,SAISIE!$C$2:$C$501,LISTES!$G$8)+SUMIFS(SAISIE!$N$2:$N$501,SAISIE!$C$2:$C$501,LISTES!$G$8))</f>
        <v/>
      </c>
      <c r="H23" s="20">
        <f>IFERROR(IF(F23=0,"",F23-G23),"")</f>
        <v/>
      </c>
      <c r="I23" s="21">
        <f>IFERROR(IF(F23=0,"",G23/F23),"")</f>
        <v/>
      </c>
    </row>
    <row r="24" hidden="1" ht="15" customHeight="1">
      <c r="A24" s="19">
        <f>LISTES!$G$9</f>
        <v/>
      </c>
      <c r="B24" s="19" t="n"/>
      <c r="C24" s="19" t="n"/>
      <c r="D24" s="19" t="n"/>
      <c r="E24" s="19" t="n"/>
      <c r="F24" s="20" t="n"/>
      <c r="G24" s="20">
        <f>IF(LISTES!$G$9="",0,SUMIFS(SAISIE!$E$2:$E$501,SAISIE!$C$2:$C$501,LISTES!$G$9)+SUMIFS(SAISIE!$F$2:$F$501,SAISIE!$C$2:$C$501,LISTES!$G$9)+SUMIFS(SAISIE!$G$2:$G$501,SAISIE!$C$2:$C$501,LISTES!$G$9)+SUMIFS(SAISIE!$H$2:$H$501,SAISIE!$C$2:$C$501,LISTES!$G$9)+SUMIFS(SAISIE!$I$2:$I$501,SAISIE!$C$2:$C$501,LISTES!$G$9)+SUMIFS(SAISIE!$J$2:$J$501,SAISIE!$C$2:$C$501,LISTES!$G$9)+SUMIFS(SAISIE!$K$2:$K$501,SAISIE!$C$2:$C$501,LISTES!$G$9)+SUMIFS(SAISIE!$L$2:$L$501,SAISIE!$C$2:$C$501,LISTES!$G$9)+SUMIFS(SAISIE!$M$2:$M$501,SAISIE!$C$2:$C$501,LISTES!$G$9)+SUMIFS(SAISIE!$N$2:$N$501,SAISIE!$C$2:$C$501,LISTES!$G$9))</f>
        <v/>
      </c>
      <c r="H24" s="20">
        <f>IFERROR(IF(F24=0,"",F24-G24),"")</f>
        <v/>
      </c>
      <c r="I24" s="21">
        <f>IFERROR(IF(F24=0,"",G24/F24),"")</f>
        <v/>
      </c>
    </row>
    <row r="25" hidden="1" ht="15" customHeight="1">
      <c r="A25" s="19">
        <f>LISTES!$G$10</f>
        <v/>
      </c>
      <c r="B25" s="19" t="n"/>
      <c r="C25" s="19" t="n"/>
      <c r="D25" s="19" t="n"/>
      <c r="E25" s="19" t="n"/>
      <c r="F25" s="20" t="n"/>
      <c r="G25" s="20">
        <f>IF(LISTES!$G$10="",0,SUMIFS(SAISIE!$E$2:$E$501,SAISIE!$C$2:$C$501,LISTES!$G$10)+SUMIFS(SAISIE!$F$2:$F$501,SAISIE!$C$2:$C$501,LISTES!$G$10)+SUMIFS(SAISIE!$G$2:$G$501,SAISIE!$C$2:$C$501,LISTES!$G$10)+SUMIFS(SAISIE!$H$2:$H$501,SAISIE!$C$2:$C$501,LISTES!$G$10)+SUMIFS(SAISIE!$I$2:$I$501,SAISIE!$C$2:$C$501,LISTES!$G$10)+SUMIFS(SAISIE!$J$2:$J$501,SAISIE!$C$2:$C$501,LISTES!$G$10)+SUMIFS(SAISIE!$K$2:$K$501,SAISIE!$C$2:$C$501,LISTES!$G$10)+SUMIFS(SAISIE!$L$2:$L$501,SAISIE!$C$2:$C$501,LISTES!$G$10)+SUMIFS(SAISIE!$M$2:$M$501,SAISIE!$C$2:$C$501,LISTES!$G$10)+SUMIFS(SAISIE!$N$2:$N$501,SAISIE!$C$2:$C$501,LISTES!$G$10))</f>
        <v/>
      </c>
      <c r="H25" s="20">
        <f>IFERROR(IF(F25=0,"",F25-G25),"")</f>
        <v/>
      </c>
      <c r="I25" s="21">
        <f>IFERROR(IF(F25=0,"",G25/F25),"")</f>
        <v/>
      </c>
    </row>
    <row r="26" hidden="1" ht="15" customHeight="1">
      <c r="A26" s="19">
        <f>LISTES!$G$11</f>
        <v/>
      </c>
      <c r="B26" s="19" t="n"/>
      <c r="C26" s="19" t="n"/>
      <c r="D26" s="19" t="n"/>
      <c r="E26" s="19" t="n"/>
      <c r="F26" s="20" t="n"/>
      <c r="G26" s="20">
        <f>IF(LISTES!$G$11="",0,SUMIFS(SAISIE!$E$2:$E$501,SAISIE!$C$2:$C$501,LISTES!$G$11)+SUMIFS(SAISIE!$F$2:$F$501,SAISIE!$C$2:$C$501,LISTES!$G$11)+SUMIFS(SAISIE!$G$2:$G$501,SAISIE!$C$2:$C$501,LISTES!$G$11)+SUMIFS(SAISIE!$H$2:$H$501,SAISIE!$C$2:$C$501,LISTES!$G$11)+SUMIFS(SAISIE!$I$2:$I$501,SAISIE!$C$2:$C$501,LISTES!$G$11)+SUMIFS(SAISIE!$J$2:$J$501,SAISIE!$C$2:$C$501,LISTES!$G$11)+SUMIFS(SAISIE!$K$2:$K$501,SAISIE!$C$2:$C$501,LISTES!$G$11)+SUMIFS(SAISIE!$L$2:$L$501,SAISIE!$C$2:$C$501,LISTES!$G$11)+SUMIFS(SAISIE!$M$2:$M$501,SAISIE!$C$2:$C$501,LISTES!$G$11)+SUMIFS(SAISIE!$N$2:$N$501,SAISIE!$C$2:$C$501,LISTES!$G$11))</f>
        <v/>
      </c>
      <c r="H26" s="20">
        <f>IFERROR(IF(F26=0,"",F26-G26),"")</f>
        <v/>
      </c>
      <c r="I26" s="21">
        <f>IFERROR(IF(F26=0,"",G26/F26),"")</f>
        <v/>
      </c>
    </row>
    <row r="27" ht="16" customHeight="1">
      <c r="A27" s="22" t="inlineStr">
        <is>
          <t>Sous-total</t>
        </is>
      </c>
      <c r="B27" s="23" t="n"/>
      <c r="C27" s="23" t="n"/>
      <c r="D27" s="23" t="n"/>
      <c r="E27" s="23" t="n"/>
      <c r="F27" s="24">
        <f>SUMIF(F17:F26,"&lt;&gt;")</f>
        <v/>
      </c>
      <c r="G27" s="24">
        <f>SUM(G17:G26)</f>
        <v/>
      </c>
      <c r="H27" s="24">
        <f>IFERROR(IF(F27=0,"",F27-G27),"")</f>
        <v/>
      </c>
      <c r="I27" s="25">
        <f>IFERROR(IF(F27=0,"",G27/F27),"")</f>
        <v/>
      </c>
    </row>
    <row r="29" ht="18" customHeight="1">
      <c r="A29" s="26" t="inlineStr">
        <is>
          <t>▸  RTR NEUTRONIQUES</t>
        </is>
      </c>
    </row>
    <row r="30" ht="16" customHeight="1">
      <c r="A30" s="1" t="inlineStr">
        <is>
          <t>RTR</t>
        </is>
      </c>
      <c r="B30" s="1" t="inlineStr">
        <is>
          <t>N° IZ</t>
        </is>
      </c>
      <c r="C30" s="1" t="inlineStr">
        <is>
          <t>Type</t>
        </is>
      </c>
      <c r="D30" s="1" t="inlineStr">
        <is>
          <t>Tranche</t>
        </is>
      </c>
      <c r="E30" s="1" t="inlineStr">
        <is>
          <t>Local</t>
        </is>
      </c>
      <c r="F30" s="1" t="inlineStr">
        <is>
          <t>Prévu (mSv)</t>
        </is>
      </c>
      <c r="G30" s="1" t="inlineStr">
        <is>
          <t>Consommé (mSv)</t>
        </is>
      </c>
      <c r="H30" s="1" t="inlineStr">
        <is>
          <t>Reste (mSv)</t>
        </is>
      </c>
      <c r="I30" s="1" t="inlineStr">
        <is>
          <t>% consommé</t>
        </is>
      </c>
    </row>
    <row r="31" ht="15" customHeight="1">
      <c r="A31" s="27">
        <f>LISTES!$I$2</f>
        <v/>
      </c>
      <c r="B31" s="27" t="n"/>
      <c r="C31" s="27" t="n"/>
      <c r="D31" s="27" t="n"/>
      <c r="E31" s="27" t="n"/>
      <c r="F31" s="28" t="n"/>
      <c r="G31" s="28">
        <f>IF(LISTES!$I$2="",0,SUMIFS(SAISIE!$E$2:$E$501,SAISIE!$C$2:$C$501,LISTES!$I$2)+SUMIFS(SAISIE!$F$2:$F$501,SAISIE!$C$2:$C$501,LISTES!$I$2)+SUMIFS(SAISIE!$G$2:$G$501,SAISIE!$C$2:$C$501,LISTES!$I$2)+SUMIFS(SAISIE!$H$2:$H$501,SAISIE!$C$2:$C$501,LISTES!$I$2)+SUMIFS(SAISIE!$I$2:$I$501,SAISIE!$C$2:$C$501,LISTES!$I$2)+SUMIFS(SAISIE!$J$2:$J$501,SAISIE!$C$2:$C$501,LISTES!$I$2)+SUMIFS(SAISIE!$K$2:$K$501,SAISIE!$C$2:$C$501,LISTES!$I$2)+SUMIFS(SAISIE!$L$2:$L$501,SAISIE!$C$2:$C$501,LISTES!$I$2)+SUMIFS(SAISIE!$M$2:$M$501,SAISIE!$C$2:$C$501,LISTES!$I$2)+SUMIFS(SAISIE!$N$2:$N$501,SAISIE!$C$2:$C$501,LISTES!$I$2))</f>
        <v/>
      </c>
      <c r="H31" s="28">
        <f>IFERROR(IF(F31=0,"",F31-G31),"")</f>
        <v/>
      </c>
      <c r="I31" s="29">
        <f>IFERROR(IF(F31=0,"",G31/F31),"")</f>
        <v/>
      </c>
    </row>
    <row r="32" hidden="1" ht="15" customHeight="1">
      <c r="A32" s="27">
        <f>LISTES!$I$3</f>
        <v/>
      </c>
      <c r="B32" s="27" t="n"/>
      <c r="C32" s="27" t="n"/>
      <c r="D32" s="27" t="n"/>
      <c r="E32" s="27" t="n"/>
      <c r="F32" s="28" t="n"/>
      <c r="G32" s="28">
        <f>IF(LISTES!$I$3="",0,SUMIFS(SAISIE!$E$2:$E$501,SAISIE!$C$2:$C$501,LISTES!$I$3)+SUMIFS(SAISIE!$F$2:$F$501,SAISIE!$C$2:$C$501,LISTES!$I$3)+SUMIFS(SAISIE!$G$2:$G$501,SAISIE!$C$2:$C$501,LISTES!$I$3)+SUMIFS(SAISIE!$H$2:$H$501,SAISIE!$C$2:$C$501,LISTES!$I$3)+SUMIFS(SAISIE!$I$2:$I$501,SAISIE!$C$2:$C$501,LISTES!$I$3)+SUMIFS(SAISIE!$J$2:$J$501,SAISIE!$C$2:$C$501,LISTES!$I$3)+SUMIFS(SAISIE!$K$2:$K$501,SAISIE!$C$2:$C$501,LISTES!$I$3)+SUMIFS(SAISIE!$L$2:$L$501,SAISIE!$C$2:$C$501,LISTES!$I$3)+SUMIFS(SAISIE!$M$2:$M$501,SAISIE!$C$2:$C$501,LISTES!$I$3)+SUMIFS(SAISIE!$N$2:$N$501,SAISIE!$C$2:$C$501,LISTES!$I$3))</f>
        <v/>
      </c>
      <c r="H32" s="28">
        <f>IFERROR(IF(F32=0,"",F32-G32),"")</f>
        <v/>
      </c>
      <c r="I32" s="29">
        <f>IFERROR(IF(F32=0,"",G32/F32),"")</f>
        <v/>
      </c>
    </row>
    <row r="33" hidden="1" ht="15" customHeight="1">
      <c r="A33" s="27">
        <f>LISTES!$I$4</f>
        <v/>
      </c>
      <c r="B33" s="27" t="n"/>
      <c r="C33" s="27" t="n"/>
      <c r="D33" s="27" t="n"/>
      <c r="E33" s="27" t="n"/>
      <c r="F33" s="28" t="n"/>
      <c r="G33" s="28">
        <f>IF(LISTES!$I$4="",0,SUMIFS(SAISIE!$E$2:$E$501,SAISIE!$C$2:$C$501,LISTES!$I$4)+SUMIFS(SAISIE!$F$2:$F$501,SAISIE!$C$2:$C$501,LISTES!$I$4)+SUMIFS(SAISIE!$G$2:$G$501,SAISIE!$C$2:$C$501,LISTES!$I$4)+SUMIFS(SAISIE!$H$2:$H$501,SAISIE!$C$2:$C$501,LISTES!$I$4)+SUMIFS(SAISIE!$I$2:$I$501,SAISIE!$C$2:$C$501,LISTES!$I$4)+SUMIFS(SAISIE!$J$2:$J$501,SAISIE!$C$2:$C$501,LISTES!$I$4)+SUMIFS(SAISIE!$K$2:$K$501,SAISIE!$C$2:$C$501,LISTES!$I$4)+SUMIFS(SAISIE!$L$2:$L$501,SAISIE!$C$2:$C$501,LISTES!$I$4)+SUMIFS(SAISIE!$M$2:$M$501,SAISIE!$C$2:$C$501,LISTES!$I$4)+SUMIFS(SAISIE!$N$2:$N$501,SAISIE!$C$2:$C$501,LISTES!$I$4))</f>
        <v/>
      </c>
      <c r="H33" s="28">
        <f>IFERROR(IF(F33=0,"",F33-G33),"")</f>
        <v/>
      </c>
      <c r="I33" s="29">
        <f>IFERROR(IF(F33=0,"",G33/F33),"")</f>
        <v/>
      </c>
    </row>
    <row r="34" hidden="1" ht="15" customHeight="1">
      <c r="A34" s="27">
        <f>LISTES!$I$5</f>
        <v/>
      </c>
      <c r="B34" s="27" t="n"/>
      <c r="C34" s="27" t="n"/>
      <c r="D34" s="27" t="n"/>
      <c r="E34" s="27" t="n"/>
      <c r="F34" s="28" t="n"/>
      <c r="G34" s="28">
        <f>IF(LISTES!$I$5="",0,SUMIFS(SAISIE!$E$2:$E$501,SAISIE!$C$2:$C$501,LISTES!$I$5)+SUMIFS(SAISIE!$F$2:$F$501,SAISIE!$C$2:$C$501,LISTES!$I$5)+SUMIFS(SAISIE!$G$2:$G$501,SAISIE!$C$2:$C$501,LISTES!$I$5)+SUMIFS(SAISIE!$H$2:$H$501,SAISIE!$C$2:$C$501,LISTES!$I$5)+SUMIFS(SAISIE!$I$2:$I$501,SAISIE!$C$2:$C$501,LISTES!$I$5)+SUMIFS(SAISIE!$J$2:$J$501,SAISIE!$C$2:$C$501,LISTES!$I$5)+SUMIFS(SAISIE!$K$2:$K$501,SAISIE!$C$2:$C$501,LISTES!$I$5)+SUMIFS(SAISIE!$L$2:$L$501,SAISIE!$C$2:$C$501,LISTES!$I$5)+SUMIFS(SAISIE!$M$2:$M$501,SAISIE!$C$2:$C$501,LISTES!$I$5)+SUMIFS(SAISIE!$N$2:$N$501,SAISIE!$C$2:$C$501,LISTES!$I$5))</f>
        <v/>
      </c>
      <c r="H34" s="28">
        <f>IFERROR(IF(F34=0,"",F34-G34),"")</f>
        <v/>
      </c>
      <c r="I34" s="29">
        <f>IFERROR(IF(F34=0,"",G34/F34),"")</f>
        <v/>
      </c>
    </row>
    <row r="35" hidden="1" ht="15" customHeight="1">
      <c r="A35" s="27">
        <f>LISTES!$I$6</f>
        <v/>
      </c>
      <c r="B35" s="27" t="n"/>
      <c r="C35" s="27" t="n"/>
      <c r="D35" s="27" t="n"/>
      <c r="E35" s="27" t="n"/>
      <c r="F35" s="28" t="n"/>
      <c r="G35" s="28">
        <f>IF(LISTES!$I$6="",0,SUMIFS(SAISIE!$E$2:$E$501,SAISIE!$C$2:$C$501,LISTES!$I$6)+SUMIFS(SAISIE!$F$2:$F$501,SAISIE!$C$2:$C$501,LISTES!$I$6)+SUMIFS(SAISIE!$G$2:$G$501,SAISIE!$C$2:$C$501,LISTES!$I$6)+SUMIFS(SAISIE!$H$2:$H$501,SAISIE!$C$2:$C$501,LISTES!$I$6)+SUMIFS(SAISIE!$I$2:$I$501,SAISIE!$C$2:$C$501,LISTES!$I$6)+SUMIFS(SAISIE!$J$2:$J$501,SAISIE!$C$2:$C$501,LISTES!$I$6)+SUMIFS(SAISIE!$K$2:$K$501,SAISIE!$C$2:$C$501,LISTES!$I$6)+SUMIFS(SAISIE!$L$2:$L$501,SAISIE!$C$2:$C$501,LISTES!$I$6)+SUMIFS(SAISIE!$M$2:$M$501,SAISIE!$C$2:$C$501,LISTES!$I$6)+SUMIFS(SAISIE!$N$2:$N$501,SAISIE!$C$2:$C$501,LISTES!$I$6))</f>
        <v/>
      </c>
      <c r="H35" s="28">
        <f>IFERROR(IF(F35=0,"",F35-G35),"")</f>
        <v/>
      </c>
      <c r="I35" s="29">
        <f>IFERROR(IF(F35=0,"",G35/F35),"")</f>
        <v/>
      </c>
    </row>
    <row r="36" hidden="1" ht="15" customHeight="1">
      <c r="A36" s="27">
        <f>LISTES!$I$7</f>
        <v/>
      </c>
      <c r="B36" s="27" t="n"/>
      <c r="C36" s="27" t="n"/>
      <c r="D36" s="27" t="n"/>
      <c r="E36" s="27" t="n"/>
      <c r="F36" s="28" t="n"/>
      <c r="G36" s="28">
        <f>IF(LISTES!$I$7="",0,SUMIFS(SAISIE!$E$2:$E$501,SAISIE!$C$2:$C$501,LISTES!$I$7)+SUMIFS(SAISIE!$F$2:$F$501,SAISIE!$C$2:$C$501,LISTES!$I$7)+SUMIFS(SAISIE!$G$2:$G$501,SAISIE!$C$2:$C$501,LISTES!$I$7)+SUMIFS(SAISIE!$H$2:$H$501,SAISIE!$C$2:$C$501,LISTES!$I$7)+SUMIFS(SAISIE!$I$2:$I$501,SAISIE!$C$2:$C$501,LISTES!$I$7)+SUMIFS(SAISIE!$J$2:$J$501,SAISIE!$C$2:$C$501,LISTES!$I$7)+SUMIFS(SAISIE!$K$2:$K$501,SAISIE!$C$2:$C$501,LISTES!$I$7)+SUMIFS(SAISIE!$L$2:$L$501,SAISIE!$C$2:$C$501,LISTES!$I$7)+SUMIFS(SAISIE!$M$2:$M$501,SAISIE!$C$2:$C$501,LISTES!$I$7)+SUMIFS(SAISIE!$N$2:$N$501,SAISIE!$C$2:$C$501,LISTES!$I$7))</f>
        <v/>
      </c>
      <c r="H36" s="28">
        <f>IFERROR(IF(F36=0,"",F36-G36),"")</f>
        <v/>
      </c>
      <c r="I36" s="29">
        <f>IFERROR(IF(F36=0,"",G36/F36),"")</f>
        <v/>
      </c>
    </row>
    <row r="37" hidden="1" ht="15" customHeight="1">
      <c r="A37" s="27">
        <f>LISTES!$I$8</f>
        <v/>
      </c>
      <c r="B37" s="27" t="n"/>
      <c r="C37" s="27" t="n"/>
      <c r="D37" s="27" t="n"/>
      <c r="E37" s="27" t="n"/>
      <c r="F37" s="28" t="n"/>
      <c r="G37" s="28">
        <f>IF(LISTES!$I$8="",0,SUMIFS(SAISIE!$E$2:$E$501,SAISIE!$C$2:$C$501,LISTES!$I$8)+SUMIFS(SAISIE!$F$2:$F$501,SAISIE!$C$2:$C$501,LISTES!$I$8)+SUMIFS(SAISIE!$G$2:$G$501,SAISIE!$C$2:$C$501,LISTES!$I$8)+SUMIFS(SAISIE!$H$2:$H$501,SAISIE!$C$2:$C$501,LISTES!$I$8)+SUMIFS(SAISIE!$I$2:$I$501,SAISIE!$C$2:$C$501,LISTES!$I$8)+SUMIFS(SAISIE!$J$2:$J$501,SAISIE!$C$2:$C$501,LISTES!$I$8)+SUMIFS(SAISIE!$K$2:$K$501,SAISIE!$C$2:$C$501,LISTES!$I$8)+SUMIFS(SAISIE!$L$2:$L$501,SAISIE!$C$2:$C$501,LISTES!$I$8)+SUMIFS(SAISIE!$M$2:$M$501,SAISIE!$C$2:$C$501,LISTES!$I$8)+SUMIFS(SAISIE!$N$2:$N$501,SAISIE!$C$2:$C$501,LISTES!$I$8))</f>
        <v/>
      </c>
      <c r="H37" s="28">
        <f>IFERROR(IF(F37=0,"",F37-G37),"")</f>
        <v/>
      </c>
      <c r="I37" s="29">
        <f>IFERROR(IF(F37=0,"",G37/F37),"")</f>
        <v/>
      </c>
    </row>
    <row r="38" hidden="1" ht="15" customHeight="1">
      <c r="A38" s="27">
        <f>LISTES!$I$9</f>
        <v/>
      </c>
      <c r="B38" s="27" t="n"/>
      <c r="C38" s="27" t="n"/>
      <c r="D38" s="27" t="n"/>
      <c r="E38" s="27" t="n"/>
      <c r="F38" s="28" t="n"/>
      <c r="G38" s="28">
        <f>IF(LISTES!$I$9="",0,SUMIFS(SAISIE!$E$2:$E$501,SAISIE!$C$2:$C$501,LISTES!$I$9)+SUMIFS(SAISIE!$F$2:$F$501,SAISIE!$C$2:$C$501,LISTES!$I$9)+SUMIFS(SAISIE!$G$2:$G$501,SAISIE!$C$2:$C$501,LISTES!$I$9)+SUMIFS(SAISIE!$H$2:$H$501,SAISIE!$C$2:$C$501,LISTES!$I$9)+SUMIFS(SAISIE!$I$2:$I$501,SAISIE!$C$2:$C$501,LISTES!$I$9)+SUMIFS(SAISIE!$J$2:$J$501,SAISIE!$C$2:$C$501,LISTES!$I$9)+SUMIFS(SAISIE!$K$2:$K$501,SAISIE!$C$2:$C$501,LISTES!$I$9)+SUMIFS(SAISIE!$L$2:$L$501,SAISIE!$C$2:$C$501,LISTES!$I$9)+SUMIFS(SAISIE!$M$2:$M$501,SAISIE!$C$2:$C$501,LISTES!$I$9)+SUMIFS(SAISIE!$N$2:$N$501,SAISIE!$C$2:$C$501,LISTES!$I$9))</f>
        <v/>
      </c>
      <c r="H38" s="28">
        <f>IFERROR(IF(F38=0,"",F38-G38),"")</f>
        <v/>
      </c>
      <c r="I38" s="29">
        <f>IFERROR(IF(F38=0,"",G38/F38),"")</f>
        <v/>
      </c>
    </row>
    <row r="39" hidden="1" ht="15" customHeight="1">
      <c r="A39" s="27">
        <f>LISTES!$I$10</f>
        <v/>
      </c>
      <c r="B39" s="27" t="n"/>
      <c r="C39" s="27" t="n"/>
      <c r="D39" s="27" t="n"/>
      <c r="E39" s="27" t="n"/>
      <c r="F39" s="28" t="n"/>
      <c r="G39" s="28">
        <f>IF(LISTES!$I$10="",0,SUMIFS(SAISIE!$E$2:$E$501,SAISIE!$C$2:$C$501,LISTES!$I$10)+SUMIFS(SAISIE!$F$2:$F$501,SAISIE!$C$2:$C$501,LISTES!$I$10)+SUMIFS(SAISIE!$G$2:$G$501,SAISIE!$C$2:$C$501,LISTES!$I$10)+SUMIFS(SAISIE!$H$2:$H$501,SAISIE!$C$2:$C$501,LISTES!$I$10)+SUMIFS(SAISIE!$I$2:$I$501,SAISIE!$C$2:$C$501,LISTES!$I$10)+SUMIFS(SAISIE!$J$2:$J$501,SAISIE!$C$2:$C$501,LISTES!$I$10)+SUMIFS(SAISIE!$K$2:$K$501,SAISIE!$C$2:$C$501,LISTES!$I$10)+SUMIFS(SAISIE!$L$2:$L$501,SAISIE!$C$2:$C$501,LISTES!$I$10)+SUMIFS(SAISIE!$M$2:$M$501,SAISIE!$C$2:$C$501,LISTES!$I$10)+SUMIFS(SAISIE!$N$2:$N$501,SAISIE!$C$2:$C$501,LISTES!$I$10))</f>
        <v/>
      </c>
      <c r="H39" s="28">
        <f>IFERROR(IF(F39=0,"",F39-G39),"")</f>
        <v/>
      </c>
      <c r="I39" s="29">
        <f>IFERROR(IF(F39=0,"",G39/F39),"")</f>
        <v/>
      </c>
    </row>
    <row r="40" hidden="1" ht="15" customHeight="1">
      <c r="A40" s="27">
        <f>LISTES!$I$11</f>
        <v/>
      </c>
      <c r="B40" s="27" t="n"/>
      <c r="C40" s="27" t="n"/>
      <c r="D40" s="27" t="n"/>
      <c r="E40" s="27" t="n"/>
      <c r="F40" s="28" t="n"/>
      <c r="G40" s="28">
        <f>IF(LISTES!$I$11="",0,SUMIFS(SAISIE!$E$2:$E$501,SAISIE!$C$2:$C$501,LISTES!$I$11)+SUMIFS(SAISIE!$F$2:$F$501,SAISIE!$C$2:$C$501,LISTES!$I$11)+SUMIFS(SAISIE!$G$2:$G$501,SAISIE!$C$2:$C$501,LISTES!$I$11)+SUMIFS(SAISIE!$H$2:$H$501,SAISIE!$C$2:$C$501,LISTES!$I$11)+SUMIFS(SAISIE!$I$2:$I$501,SAISIE!$C$2:$C$501,LISTES!$I$11)+SUMIFS(SAISIE!$J$2:$J$501,SAISIE!$C$2:$C$501,LISTES!$I$11)+SUMIFS(SAISIE!$K$2:$K$501,SAISIE!$C$2:$C$501,LISTES!$I$11)+SUMIFS(SAISIE!$L$2:$L$501,SAISIE!$C$2:$C$501,LISTES!$I$11)+SUMIFS(SAISIE!$M$2:$M$501,SAISIE!$C$2:$C$501,LISTES!$I$11)+SUMIFS(SAISIE!$N$2:$N$501,SAISIE!$C$2:$C$501,LISTES!$I$11))</f>
        <v/>
      </c>
      <c r="H40" s="28">
        <f>IFERROR(IF(F40=0,"",F40-G40),"")</f>
        <v/>
      </c>
      <c r="I40" s="29">
        <f>IFERROR(IF(F40=0,"",G40/F40),"")</f>
        <v/>
      </c>
    </row>
    <row r="41" ht="16" customHeight="1">
      <c r="A41" s="30" t="inlineStr">
        <is>
          <t>Sous-total</t>
        </is>
      </c>
      <c r="B41" s="31" t="n"/>
      <c r="C41" s="31" t="n"/>
      <c r="D41" s="31" t="n"/>
      <c r="E41" s="31" t="n"/>
      <c r="F41" s="32">
        <f>SUMIF(F31:F40,"&lt;&gt;")</f>
        <v/>
      </c>
      <c r="G41" s="32">
        <f>SUM(G31:G40)</f>
        <v/>
      </c>
      <c r="H41" s="32">
        <f>IFERROR(IF(F41=0,"",F41-G41),"")</f>
        <v/>
      </c>
      <c r="I41" s="33">
        <f>IFERROR(IF(F41=0,"",G41/F41),"")</f>
        <v/>
      </c>
    </row>
    <row r="42" ht="18" customHeight="1">
      <c r="A42" s="34" t="inlineStr">
        <is>
          <t>TOTAL GÉNÉRAL</t>
        </is>
      </c>
      <c r="B42" s="1" t="n"/>
      <c r="C42" s="1" t="n"/>
      <c r="D42" s="1" t="n"/>
      <c r="E42" s="1" t="n"/>
      <c r="F42" s="35">
        <f>SUM(F13,F27,F41)</f>
        <v/>
      </c>
      <c r="G42" s="35">
        <f>SUM(G13,G27,G41)</f>
        <v/>
      </c>
      <c r="H42" s="35">
        <f>IFERROR(IF(F42=0,"",F42-G42),"")</f>
        <v/>
      </c>
      <c r="I42" s="36">
        <f>IFERROR(IF(F42=0,"",G42/F42),"")</f>
        <v/>
      </c>
    </row>
  </sheetData>
  <mergeCells count="3">
    <mergeCell ref="A1:I1"/>
    <mergeCell ref="A29:I29"/>
    <mergeCell ref="A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 ht="24" customHeight="1">
      <c r="A1" s="37" t="inlineStr">
        <is>
          <t>SUIVI PAR BÂTIMENT</t>
        </is>
      </c>
    </row>
    <row r="2" ht="18" customHeight="1">
      <c r="A2" s="38" t="inlineStr">
        <is>
          <t>Bâtiment</t>
        </is>
      </c>
      <c r="B2" s="38" t="inlineStr">
        <is>
          <t>Dose consommée (mSv)</t>
        </is>
      </c>
      <c r="C2" s="38" t="inlineStr">
        <is>
          <t>Passages (DJ)</t>
        </is>
      </c>
      <c r="D2" s="38" t="inlineStr">
        <is>
          <t>Jours-Homme</t>
        </is>
      </c>
      <c r="E2" s="38" t="inlineStr">
        <is>
          <t>Jours Calendrier</t>
        </is>
      </c>
    </row>
    <row r="3" ht="16" customHeight="1">
      <c r="A3" s="8">
        <f>LISTES!$K$2</f>
        <v/>
      </c>
      <c r="B3" s="9">
        <f>IF(LISTES!$K$2="",0,SUMIFS(SAISIE!$E$2:$E$501,SAISIE!$D$2:$D$501,LISTES!$K$2)+SUMIFS(SAISIE!$F$2:$F$501,SAISIE!$D$2:$D$501,LISTES!$K$2)+SUMIFS(SAISIE!$G$2:$G$501,SAISIE!$D$2:$D$501,LISTES!$K$2)+SUMIFS(SAISIE!$H$2:$H$501,SAISIE!$D$2:$D$501,LISTES!$K$2)+SUMIFS(SAISIE!$I$2:$I$501,SAISIE!$D$2:$D$501,LISTES!$K$2)+SUMIFS(SAISIE!$J$2:$J$501,SAISIE!$D$2:$D$501,LISTES!$K$2)+SUMIFS(SAISIE!$K$2:$K$501,SAISIE!$D$2:$D$501,LISTES!$K$2)+SUMIFS(SAISIE!$L$2:$L$501,SAISIE!$D$2:$D$501,LISTES!$K$2)+SUMIFS(SAISIE!$M$2:$M$501,SAISIE!$D$2:$D$501,LISTES!$K$2)+SUMIFS(SAISIE!$N$2:$N$501,SAISIE!$D$2:$D$501,LISTES!$K$2))</f>
        <v/>
      </c>
      <c r="C3" s="39">
        <f>IFERROR(COUNTIFS(SAISIE!$D$2:$D$501,LISTES!$K$2),0)</f>
        <v/>
      </c>
      <c r="D3" s="39">
        <f>IFERROR(SUMPRODUCT((SAISIE!$D$2:$D$501=LISTES!$K$2)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3" s="39">
        <f>IFERROR(SUMPRODUCT((SAISIE!$D$2:$D$501=LISTES!$K$2)/(COUNTIFS(SAISIE!$A$2:$A$501,SAISIE!$A$2:$A$501,SAISIE!$D$2:$D$501,LISTES!$K$2)+((SAISIE!$D$2:$D$501&lt;&gt;LISTES!$K$2)*1E9))),0)</f>
        <v/>
      </c>
    </row>
    <row r="4" ht="16" customHeight="1">
      <c r="A4" s="8">
        <f>LISTES!$K$3</f>
        <v/>
      </c>
      <c r="B4" s="9">
        <f>IF(LISTES!$K$3="",0,SUMIFS(SAISIE!$E$2:$E$501,SAISIE!$D$2:$D$501,LISTES!$K$3)+SUMIFS(SAISIE!$F$2:$F$501,SAISIE!$D$2:$D$501,LISTES!$K$3)+SUMIFS(SAISIE!$G$2:$G$501,SAISIE!$D$2:$D$501,LISTES!$K$3)+SUMIFS(SAISIE!$H$2:$H$501,SAISIE!$D$2:$D$501,LISTES!$K$3)+SUMIFS(SAISIE!$I$2:$I$501,SAISIE!$D$2:$D$501,LISTES!$K$3)+SUMIFS(SAISIE!$J$2:$J$501,SAISIE!$D$2:$D$501,LISTES!$K$3)+SUMIFS(SAISIE!$K$2:$K$501,SAISIE!$D$2:$D$501,LISTES!$K$3)+SUMIFS(SAISIE!$L$2:$L$501,SAISIE!$D$2:$D$501,LISTES!$K$3)+SUMIFS(SAISIE!$M$2:$M$501,SAISIE!$D$2:$D$501,LISTES!$K$3)+SUMIFS(SAISIE!$N$2:$N$501,SAISIE!$D$2:$D$501,LISTES!$K$3))</f>
        <v/>
      </c>
      <c r="C4" s="39">
        <f>IFERROR(COUNTIFS(SAISIE!$D$2:$D$501,LISTES!$K$3),0)</f>
        <v/>
      </c>
      <c r="D4" s="39">
        <f>IFERROR(SUMPRODUCT((SAISIE!$D$2:$D$501=LISTES!$K$3)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4" s="39">
        <f>IFERROR(SUMPRODUCT((SAISIE!$D$2:$D$501=LISTES!$K$3)/(COUNTIFS(SAISIE!$A$2:$A$501,SAISIE!$A$2:$A$501,SAISIE!$D$2:$D$501,LISTES!$K$3)+((SAISIE!$D$2:$D$501&lt;&gt;LISTES!$K$3)*1E9))),0)</f>
        <v/>
      </c>
    </row>
    <row r="5" ht="16" customHeight="1">
      <c r="A5" s="8">
        <f>LISTES!$K$4</f>
        <v/>
      </c>
      <c r="B5" s="9">
        <f>IF(LISTES!$K$4="",0,SUMIFS(SAISIE!$E$2:$E$501,SAISIE!$D$2:$D$501,LISTES!$K$4)+SUMIFS(SAISIE!$F$2:$F$501,SAISIE!$D$2:$D$501,LISTES!$K$4)+SUMIFS(SAISIE!$G$2:$G$501,SAISIE!$D$2:$D$501,LISTES!$K$4)+SUMIFS(SAISIE!$H$2:$H$501,SAISIE!$D$2:$D$501,LISTES!$K$4)+SUMIFS(SAISIE!$I$2:$I$501,SAISIE!$D$2:$D$501,LISTES!$K$4)+SUMIFS(SAISIE!$J$2:$J$501,SAISIE!$D$2:$D$501,LISTES!$K$4)+SUMIFS(SAISIE!$K$2:$K$501,SAISIE!$D$2:$D$501,LISTES!$K$4)+SUMIFS(SAISIE!$L$2:$L$501,SAISIE!$D$2:$D$501,LISTES!$K$4)+SUMIFS(SAISIE!$M$2:$M$501,SAISIE!$D$2:$D$501,LISTES!$K$4)+SUMIFS(SAISIE!$N$2:$N$501,SAISIE!$D$2:$D$501,LISTES!$K$4))</f>
        <v/>
      </c>
      <c r="C5" s="39">
        <f>IFERROR(COUNTIFS(SAISIE!$D$2:$D$501,LISTES!$K$4),0)</f>
        <v/>
      </c>
      <c r="D5" s="39">
        <f>IFERROR(SUMPRODUCT((SAISIE!$D$2:$D$501=LISTES!$K$4)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5" s="39">
        <f>IFERROR(SUMPRODUCT((SAISIE!$D$2:$D$501=LISTES!$K$4)/(COUNTIFS(SAISIE!$A$2:$A$501,SAISIE!$A$2:$A$501,SAISIE!$D$2:$D$501,LISTES!$K$4)+((SAISIE!$D$2:$D$501&lt;&gt;LISTES!$K$4)*1E9))),0)</f>
        <v/>
      </c>
    </row>
    <row r="6" ht="16" customHeight="1">
      <c r="A6" s="8">
        <f>LISTES!$K$5</f>
        <v/>
      </c>
      <c r="B6" s="9">
        <f>IF(LISTES!$K$5="",0,SUMIFS(SAISIE!$E$2:$E$501,SAISIE!$D$2:$D$501,LISTES!$K$5)+SUMIFS(SAISIE!$F$2:$F$501,SAISIE!$D$2:$D$501,LISTES!$K$5)+SUMIFS(SAISIE!$G$2:$G$501,SAISIE!$D$2:$D$501,LISTES!$K$5)+SUMIFS(SAISIE!$H$2:$H$501,SAISIE!$D$2:$D$501,LISTES!$K$5)+SUMIFS(SAISIE!$I$2:$I$501,SAISIE!$D$2:$D$501,LISTES!$K$5)+SUMIFS(SAISIE!$J$2:$J$501,SAISIE!$D$2:$D$501,LISTES!$K$5)+SUMIFS(SAISIE!$K$2:$K$501,SAISIE!$D$2:$D$501,LISTES!$K$5)+SUMIFS(SAISIE!$L$2:$L$501,SAISIE!$D$2:$D$501,LISTES!$K$5)+SUMIFS(SAISIE!$M$2:$M$501,SAISIE!$D$2:$D$501,LISTES!$K$5)+SUMIFS(SAISIE!$N$2:$N$501,SAISIE!$D$2:$D$501,LISTES!$K$5))</f>
        <v/>
      </c>
      <c r="C6" s="39">
        <f>IFERROR(COUNTIFS(SAISIE!$D$2:$D$501,LISTES!$K$5),0)</f>
        <v/>
      </c>
      <c r="D6" s="39">
        <f>IFERROR(SUMPRODUCT((SAISIE!$D$2:$D$501=LISTES!$K$5)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6" s="39">
        <f>IFERROR(SUMPRODUCT((SAISIE!$D$2:$D$501=LISTES!$K$5)/(COUNTIFS(SAISIE!$A$2:$A$501,SAISIE!$A$2:$A$501,SAISIE!$D$2:$D$501,LISTES!$K$5)+((SAISIE!$D$2:$D$501&lt;&gt;LISTES!$K$5)*1E9))),0)</f>
        <v/>
      </c>
    </row>
    <row r="7" ht="16" customHeight="1">
      <c r="A7" s="8">
        <f>LISTES!$K$6</f>
        <v/>
      </c>
      <c r="B7" s="9">
        <f>IF(LISTES!$K$6="",0,SUMIFS(SAISIE!$E$2:$E$501,SAISIE!$D$2:$D$501,LISTES!$K$6)+SUMIFS(SAISIE!$F$2:$F$501,SAISIE!$D$2:$D$501,LISTES!$K$6)+SUMIFS(SAISIE!$G$2:$G$501,SAISIE!$D$2:$D$501,LISTES!$K$6)+SUMIFS(SAISIE!$H$2:$H$501,SAISIE!$D$2:$D$501,LISTES!$K$6)+SUMIFS(SAISIE!$I$2:$I$501,SAISIE!$D$2:$D$501,LISTES!$K$6)+SUMIFS(SAISIE!$J$2:$J$501,SAISIE!$D$2:$D$501,LISTES!$K$6)+SUMIFS(SAISIE!$K$2:$K$501,SAISIE!$D$2:$D$501,LISTES!$K$6)+SUMIFS(SAISIE!$L$2:$L$501,SAISIE!$D$2:$D$501,LISTES!$K$6)+SUMIFS(SAISIE!$M$2:$M$501,SAISIE!$D$2:$D$501,LISTES!$K$6)+SUMIFS(SAISIE!$N$2:$N$501,SAISIE!$D$2:$D$501,LISTES!$K$6))</f>
        <v/>
      </c>
      <c r="C7" s="39">
        <f>IFERROR(COUNTIFS(SAISIE!$D$2:$D$501,LISTES!$K$6),0)</f>
        <v/>
      </c>
      <c r="D7" s="39">
        <f>IFERROR(SUMPRODUCT((SAISIE!$D$2:$D$501=LISTES!$K$6)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7" s="39">
        <f>IFERROR(SUMPRODUCT((SAISIE!$D$2:$D$501=LISTES!$K$6)/(COUNTIFS(SAISIE!$A$2:$A$501,SAISIE!$A$2:$A$501,SAISIE!$D$2:$D$501,LISTES!$K$6)+((SAISIE!$D$2:$D$501&lt;&gt;LISTES!$K$6)*1E9))),0)</f>
        <v/>
      </c>
    </row>
    <row r="8" ht="16" customHeight="1">
      <c r="A8" s="8">
        <f>LISTES!$K$7</f>
        <v/>
      </c>
      <c r="B8" s="9">
        <f>IF(LISTES!$K$7="",0,SUMIFS(SAISIE!$E$2:$E$501,SAISIE!$D$2:$D$501,LISTES!$K$7)+SUMIFS(SAISIE!$F$2:$F$501,SAISIE!$D$2:$D$501,LISTES!$K$7)+SUMIFS(SAISIE!$G$2:$G$501,SAISIE!$D$2:$D$501,LISTES!$K$7)+SUMIFS(SAISIE!$H$2:$H$501,SAISIE!$D$2:$D$501,LISTES!$K$7)+SUMIFS(SAISIE!$I$2:$I$501,SAISIE!$D$2:$D$501,LISTES!$K$7)+SUMIFS(SAISIE!$J$2:$J$501,SAISIE!$D$2:$D$501,LISTES!$K$7)+SUMIFS(SAISIE!$K$2:$K$501,SAISIE!$D$2:$D$501,LISTES!$K$7)+SUMIFS(SAISIE!$L$2:$L$501,SAISIE!$D$2:$D$501,LISTES!$K$7)+SUMIFS(SAISIE!$M$2:$M$501,SAISIE!$D$2:$D$501,LISTES!$K$7)+SUMIFS(SAISIE!$N$2:$N$501,SAISIE!$D$2:$D$501,LISTES!$K$7))</f>
        <v/>
      </c>
      <c r="C8" s="39">
        <f>IFERROR(COUNTIFS(SAISIE!$D$2:$D$501,LISTES!$K$7),0)</f>
        <v/>
      </c>
      <c r="D8" s="39">
        <f>IFERROR(SUMPRODUCT((SAISIE!$D$2:$D$501=LISTES!$K$7)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8" s="39">
        <f>IFERROR(SUMPRODUCT((SAISIE!$D$2:$D$501=LISTES!$K$7)/(COUNTIFS(SAISIE!$A$2:$A$501,SAISIE!$A$2:$A$501,SAISIE!$D$2:$D$501,LISTES!$K$7)+((SAISIE!$D$2:$D$501&lt;&gt;LISTES!$K$7)*1E9))),0)</f>
        <v/>
      </c>
    </row>
    <row r="9" ht="16" customHeight="1">
      <c r="A9" s="8">
        <f>LISTES!$K$8</f>
        <v/>
      </c>
      <c r="B9" s="9">
        <f>IF(LISTES!$K$8="",0,SUMIFS(SAISIE!$E$2:$E$501,SAISIE!$D$2:$D$501,LISTES!$K$8)+SUMIFS(SAISIE!$F$2:$F$501,SAISIE!$D$2:$D$501,LISTES!$K$8)+SUMIFS(SAISIE!$G$2:$G$501,SAISIE!$D$2:$D$501,LISTES!$K$8)+SUMIFS(SAISIE!$H$2:$H$501,SAISIE!$D$2:$D$501,LISTES!$K$8)+SUMIFS(SAISIE!$I$2:$I$501,SAISIE!$D$2:$D$501,LISTES!$K$8)+SUMIFS(SAISIE!$J$2:$J$501,SAISIE!$D$2:$D$501,LISTES!$K$8)+SUMIFS(SAISIE!$K$2:$K$501,SAISIE!$D$2:$D$501,LISTES!$K$8)+SUMIFS(SAISIE!$L$2:$L$501,SAISIE!$D$2:$D$501,LISTES!$K$8)+SUMIFS(SAISIE!$M$2:$M$501,SAISIE!$D$2:$D$501,LISTES!$K$8)+SUMIFS(SAISIE!$N$2:$N$501,SAISIE!$D$2:$D$501,LISTES!$K$8))</f>
        <v/>
      </c>
      <c r="C9" s="39">
        <f>IFERROR(COUNTIFS(SAISIE!$D$2:$D$501,LISTES!$K$8),0)</f>
        <v/>
      </c>
      <c r="D9" s="39">
        <f>IFERROR(SUMPRODUCT((SAISIE!$D$2:$D$501=LISTES!$K$8)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9" s="39">
        <f>IFERROR(SUMPRODUCT((SAISIE!$D$2:$D$501=LISTES!$K$8)/(COUNTIFS(SAISIE!$A$2:$A$501,SAISIE!$A$2:$A$501,SAISIE!$D$2:$D$501,LISTES!$K$8)+((SAISIE!$D$2:$D$501&lt;&gt;LISTES!$K$8)*1E9))),0)</f>
        <v/>
      </c>
    </row>
    <row r="10" ht="16" customHeight="1">
      <c r="A10" s="8">
        <f>LISTES!$K$9</f>
        <v/>
      </c>
      <c r="B10" s="9">
        <f>IF(LISTES!$K$9="",0,SUMIFS(SAISIE!$E$2:$E$501,SAISIE!$D$2:$D$501,LISTES!$K$9)+SUMIFS(SAISIE!$F$2:$F$501,SAISIE!$D$2:$D$501,LISTES!$K$9)+SUMIFS(SAISIE!$G$2:$G$501,SAISIE!$D$2:$D$501,LISTES!$K$9)+SUMIFS(SAISIE!$H$2:$H$501,SAISIE!$D$2:$D$501,LISTES!$K$9)+SUMIFS(SAISIE!$I$2:$I$501,SAISIE!$D$2:$D$501,LISTES!$K$9)+SUMIFS(SAISIE!$J$2:$J$501,SAISIE!$D$2:$D$501,LISTES!$K$9)+SUMIFS(SAISIE!$K$2:$K$501,SAISIE!$D$2:$D$501,LISTES!$K$9)+SUMIFS(SAISIE!$L$2:$L$501,SAISIE!$D$2:$D$501,LISTES!$K$9)+SUMIFS(SAISIE!$M$2:$M$501,SAISIE!$D$2:$D$501,LISTES!$K$9)+SUMIFS(SAISIE!$N$2:$N$501,SAISIE!$D$2:$D$501,LISTES!$K$9))</f>
        <v/>
      </c>
      <c r="C10" s="39">
        <f>IFERROR(COUNTIFS(SAISIE!$D$2:$D$501,LISTES!$K$9),0)</f>
        <v/>
      </c>
      <c r="D10" s="39">
        <f>IFERROR(SUMPRODUCT((SAISIE!$D$2:$D$501=LISTES!$K$9)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0" s="39">
        <f>IFERROR(SUMPRODUCT((SAISIE!$D$2:$D$501=LISTES!$K$9)/(COUNTIFS(SAISIE!$A$2:$A$501,SAISIE!$A$2:$A$501,SAISIE!$D$2:$D$501,LISTES!$K$9)+((SAISIE!$D$2:$D$501&lt;&gt;LISTES!$K$9)*1E9))),0)</f>
        <v/>
      </c>
    </row>
    <row r="11" ht="16" customHeight="1">
      <c r="A11" s="8">
        <f>LISTES!$K$10</f>
        <v/>
      </c>
      <c r="B11" s="9">
        <f>IF(LISTES!$K$10="",0,SUMIFS(SAISIE!$E$2:$E$501,SAISIE!$D$2:$D$501,LISTES!$K$10)+SUMIFS(SAISIE!$F$2:$F$501,SAISIE!$D$2:$D$501,LISTES!$K$10)+SUMIFS(SAISIE!$G$2:$G$501,SAISIE!$D$2:$D$501,LISTES!$K$10)+SUMIFS(SAISIE!$H$2:$H$501,SAISIE!$D$2:$D$501,LISTES!$K$10)+SUMIFS(SAISIE!$I$2:$I$501,SAISIE!$D$2:$D$501,LISTES!$K$10)+SUMIFS(SAISIE!$J$2:$J$501,SAISIE!$D$2:$D$501,LISTES!$K$10)+SUMIFS(SAISIE!$K$2:$K$501,SAISIE!$D$2:$D$501,LISTES!$K$10)+SUMIFS(SAISIE!$L$2:$L$501,SAISIE!$D$2:$D$501,LISTES!$K$10)+SUMIFS(SAISIE!$M$2:$M$501,SAISIE!$D$2:$D$501,LISTES!$K$10)+SUMIFS(SAISIE!$N$2:$N$501,SAISIE!$D$2:$D$501,LISTES!$K$10))</f>
        <v/>
      </c>
      <c r="C11" s="39">
        <f>IFERROR(COUNTIFS(SAISIE!$D$2:$D$501,LISTES!$K$10),0)</f>
        <v/>
      </c>
      <c r="D11" s="39">
        <f>IFERROR(SUMPRODUCT((SAISIE!$D$2:$D$501=LISTES!$K$10)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1" s="39">
        <f>IFERROR(SUMPRODUCT((SAISIE!$D$2:$D$501=LISTES!$K$10)/(COUNTIFS(SAISIE!$A$2:$A$501,SAISIE!$A$2:$A$501,SAISIE!$D$2:$D$501,LISTES!$K$10)+((SAISIE!$D$2:$D$501&lt;&gt;LISTES!$K$10)*1E9))),0)</f>
        <v/>
      </c>
    </row>
    <row r="12" ht="16" customHeight="1">
      <c r="A12" s="8">
        <f>LISTES!$K$11</f>
        <v/>
      </c>
      <c r="B12" s="9">
        <f>IF(LISTES!$K$11="",0,SUMIFS(SAISIE!$E$2:$E$501,SAISIE!$D$2:$D$501,LISTES!$K$11)+SUMIFS(SAISIE!$F$2:$F$501,SAISIE!$D$2:$D$501,LISTES!$K$11)+SUMIFS(SAISIE!$G$2:$G$501,SAISIE!$D$2:$D$501,LISTES!$K$11)+SUMIFS(SAISIE!$H$2:$H$501,SAISIE!$D$2:$D$501,LISTES!$K$11)+SUMIFS(SAISIE!$I$2:$I$501,SAISIE!$D$2:$D$501,LISTES!$K$11)+SUMIFS(SAISIE!$J$2:$J$501,SAISIE!$D$2:$D$501,LISTES!$K$11)+SUMIFS(SAISIE!$K$2:$K$501,SAISIE!$D$2:$D$501,LISTES!$K$11)+SUMIFS(SAISIE!$L$2:$L$501,SAISIE!$D$2:$D$501,LISTES!$K$11)+SUMIFS(SAISIE!$M$2:$M$501,SAISIE!$D$2:$D$501,LISTES!$K$11)+SUMIFS(SAISIE!$N$2:$N$501,SAISIE!$D$2:$D$501,LISTES!$K$11))</f>
        <v/>
      </c>
      <c r="C12" s="39">
        <f>IFERROR(COUNTIFS(SAISIE!$D$2:$D$501,LISTES!$K$11),0)</f>
        <v/>
      </c>
      <c r="D12" s="39">
        <f>IFERROR(SUMPRODUCT((SAISIE!$D$2:$D$501=LISTES!$K$11)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E12" s="39">
        <f>IFERROR(SUMPRODUCT((SAISIE!$D$2:$D$501=LISTES!$K$11)/(COUNTIFS(SAISIE!$A$2:$A$501,SAISIE!$A$2:$A$501,SAISIE!$D$2:$D$501,LISTES!$K$11)+((SAISIE!$D$2:$D$501&lt;&gt;LISTES!$K$11)*1E9))),0)</f>
        <v/>
      </c>
    </row>
    <row r="13" ht="18" customHeight="1">
      <c r="A13" s="1" t="inlineStr">
        <is>
          <t>TOTAL</t>
        </is>
      </c>
      <c r="B13" s="35">
        <f>SUM(B3:B12)</f>
        <v/>
      </c>
      <c r="C13" s="40">
        <f>SUM(C3:C12)</f>
        <v/>
      </c>
      <c r="D13" s="40">
        <f>SUM(D3:D12)</f>
        <v/>
      </c>
      <c r="E13" s="40">
        <f>SUM(E3:E12)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hidden="1" width="8" customWidth="1" min="4" max="4"/>
    <col hidden="1" width="8" customWidth="1" min="5" max="5"/>
    <col hidden="1" width="8" customWidth="1" min="6" max="6"/>
    <col hidden="1" width="8" customWidth="1" min="7" max="7"/>
    <col hidden="1" width="8" customWidth="1" min="8" max="8"/>
    <col hidden="1" width="8" customWidth="1" min="9" max="9"/>
    <col hidden="1" width="8" customWidth="1" min="10" max="10"/>
    <col hidden="1" width="8" customWidth="1" min="11" max="11"/>
    <col hidden="1" width="8" customWidth="1" min="12" max="12"/>
    <col width="8" customWidth="1" min="13" max="13"/>
    <col hidden="1" width="8" customWidth="1" min="14" max="14"/>
    <col hidden="1" width="8" customWidth="1" min="15" max="15"/>
    <col hidden="1" width="8" customWidth="1" min="16" max="16"/>
    <col hidden="1" width="8" customWidth="1" min="17" max="17"/>
    <col hidden="1" width="8" customWidth="1" min="18" max="18"/>
    <col hidden="1" width="8" customWidth="1" min="19" max="19"/>
    <col hidden="1" width="8" customWidth="1" min="20" max="20"/>
    <col hidden="1" width="8" customWidth="1" min="21" max="21"/>
    <col hidden="1" width="8" customWidth="1" min="22" max="22"/>
    <col width="8" customWidth="1" min="23" max="23"/>
    <col hidden="1" width="8" customWidth="1" min="24" max="24"/>
    <col hidden="1" width="8" customWidth="1" min="25" max="25"/>
    <col hidden="1" width="8" customWidth="1" min="26" max="26"/>
    <col hidden="1" width="8" customWidth="1" min="27" max="27"/>
    <col hidden="1" width="8" customWidth="1" min="28" max="28"/>
    <col hidden="1" width="8" customWidth="1" min="29" max="29"/>
    <col hidden="1" width="8" customWidth="1" min="30" max="30"/>
    <col hidden="1" width="8" customWidth="1" min="31" max="31"/>
    <col hidden="1" width="8" customWidth="1" min="32" max="32"/>
  </cols>
  <sheetData>
    <row r="1" ht="18" customHeight="1">
      <c r="A1" s="1" t="inlineStr">
        <is>
          <t>Intervenant</t>
        </is>
      </c>
      <c r="B1" s="41">
        <f>LISTES!$E$2</f>
        <v/>
      </c>
      <c r="C1" s="41">
        <f>LISTES!$E$3</f>
        <v/>
      </c>
      <c r="D1" s="41">
        <f>LISTES!$E$4</f>
        <v/>
      </c>
      <c r="E1" s="41">
        <f>LISTES!$E$5</f>
        <v/>
      </c>
      <c r="F1" s="41">
        <f>LISTES!$E$6</f>
        <v/>
      </c>
      <c r="G1" s="41">
        <f>LISTES!$E$7</f>
        <v/>
      </c>
      <c r="H1" s="41">
        <f>LISTES!$E$8</f>
        <v/>
      </c>
      <c r="I1" s="41">
        <f>LISTES!$E$9</f>
        <v/>
      </c>
      <c r="J1" s="41">
        <f>LISTES!$E$10</f>
        <v/>
      </c>
      <c r="K1" s="41">
        <f>LISTES!$E$11</f>
        <v/>
      </c>
      <c r="L1" s="42">
        <f>LISTES!$G$2</f>
        <v/>
      </c>
      <c r="M1" s="42">
        <f>LISTES!$G$3</f>
        <v/>
      </c>
      <c r="N1" s="42">
        <f>LISTES!$G$4</f>
        <v/>
      </c>
      <c r="O1" s="42">
        <f>LISTES!$G$5</f>
        <v/>
      </c>
      <c r="P1" s="42">
        <f>LISTES!$G$6</f>
        <v/>
      </c>
      <c r="Q1" s="42">
        <f>LISTES!$G$7</f>
        <v/>
      </c>
      <c r="R1" s="42">
        <f>LISTES!$G$8</f>
        <v/>
      </c>
      <c r="S1" s="42">
        <f>LISTES!$G$9</f>
        <v/>
      </c>
      <c r="T1" s="42">
        <f>LISTES!$G$10</f>
        <v/>
      </c>
      <c r="U1" s="42">
        <f>LISTES!$G$11</f>
        <v/>
      </c>
      <c r="V1" s="43">
        <f>LISTES!$I$2</f>
        <v/>
      </c>
      <c r="W1" s="43">
        <f>LISTES!$I$3</f>
        <v/>
      </c>
      <c r="X1" s="43">
        <f>LISTES!$I$4</f>
        <v/>
      </c>
      <c r="Y1" s="43">
        <f>LISTES!$I$5</f>
        <v/>
      </c>
      <c r="Z1" s="43">
        <f>LISTES!$I$6</f>
        <v/>
      </c>
      <c r="AA1" s="43">
        <f>LISTES!$I$7</f>
        <v/>
      </c>
      <c r="AB1" s="43">
        <f>LISTES!$I$8</f>
        <v/>
      </c>
      <c r="AC1" s="43">
        <f>LISTES!$I$9</f>
        <v/>
      </c>
      <c r="AD1" s="43">
        <f>LISTES!$I$10</f>
        <v/>
      </c>
      <c r="AE1" s="43">
        <f>LISTES!$I$11</f>
        <v/>
      </c>
    </row>
    <row r="2" ht="15" customHeight="1">
      <c r="A2" s="8">
        <f>LISTES!$A$2</f>
        <v/>
      </c>
      <c r="B2" s="12">
        <f>IF(LISTES!$E$2="",0,SUMIFS(SAISIE!$E$2:$E$501,SAISIE!$C$2:$C$501,LISTES!$E$2))</f>
        <v/>
      </c>
      <c r="C2" s="12">
        <f>IF(LISTES!$E$3="",0,SUMIFS(SAISIE!$E$2:$E$501,SAISIE!$C$2:$C$501,LISTES!$E$3))</f>
        <v/>
      </c>
      <c r="D2" s="12">
        <f>IF(LISTES!$E$4="",0,SUMIFS(SAISIE!$E$2:$E$501,SAISIE!$C$2:$C$501,LISTES!$E$4))</f>
        <v/>
      </c>
      <c r="E2" s="12">
        <f>IF(LISTES!$E$5="",0,SUMIFS(SAISIE!$E$2:$E$501,SAISIE!$C$2:$C$501,LISTES!$E$5))</f>
        <v/>
      </c>
      <c r="F2" s="12">
        <f>IF(LISTES!$E$6="",0,SUMIFS(SAISIE!$E$2:$E$501,SAISIE!$C$2:$C$501,LISTES!$E$6))</f>
        <v/>
      </c>
      <c r="G2" s="12">
        <f>IF(LISTES!$E$7="",0,SUMIFS(SAISIE!$E$2:$E$501,SAISIE!$C$2:$C$501,LISTES!$E$7))</f>
        <v/>
      </c>
      <c r="H2" s="12">
        <f>IF(LISTES!$E$8="",0,SUMIFS(SAISIE!$E$2:$E$501,SAISIE!$C$2:$C$501,LISTES!$E$8))</f>
        <v/>
      </c>
      <c r="I2" s="12">
        <f>IF(LISTES!$E$9="",0,SUMIFS(SAISIE!$E$2:$E$501,SAISIE!$C$2:$C$501,LISTES!$E$9))</f>
        <v/>
      </c>
      <c r="J2" s="12">
        <f>IF(LISTES!$E$10="",0,SUMIFS(SAISIE!$E$2:$E$501,SAISIE!$C$2:$C$501,LISTES!$E$10))</f>
        <v/>
      </c>
      <c r="K2" s="12">
        <f>IF(LISTES!$E$11="",0,SUMIFS(SAISIE!$E$2:$E$501,SAISIE!$C$2:$C$501,LISTES!$E$11))</f>
        <v/>
      </c>
      <c r="L2" s="20">
        <f>IF(LISTES!$G$2="",0,SUMIFS(SAISIE!$E$2:$E$501,SAISIE!$C$2:$C$501,LISTES!$G$2))</f>
        <v/>
      </c>
      <c r="M2" s="20">
        <f>IF(LISTES!$G$3="",0,SUMIFS(SAISIE!$E$2:$E$501,SAISIE!$C$2:$C$501,LISTES!$G$3))</f>
        <v/>
      </c>
      <c r="N2" s="20">
        <f>IF(LISTES!$G$4="",0,SUMIFS(SAISIE!$E$2:$E$501,SAISIE!$C$2:$C$501,LISTES!$G$4))</f>
        <v/>
      </c>
      <c r="O2" s="20">
        <f>IF(LISTES!$G$5="",0,SUMIFS(SAISIE!$E$2:$E$501,SAISIE!$C$2:$C$501,LISTES!$G$5))</f>
        <v/>
      </c>
      <c r="P2" s="20">
        <f>IF(LISTES!$G$6="",0,SUMIFS(SAISIE!$E$2:$E$501,SAISIE!$C$2:$C$501,LISTES!$G$6))</f>
        <v/>
      </c>
      <c r="Q2" s="20">
        <f>IF(LISTES!$G$7="",0,SUMIFS(SAISIE!$E$2:$E$501,SAISIE!$C$2:$C$501,LISTES!$G$7))</f>
        <v/>
      </c>
      <c r="R2" s="20">
        <f>IF(LISTES!$G$8="",0,SUMIFS(SAISIE!$E$2:$E$501,SAISIE!$C$2:$C$501,LISTES!$G$8))</f>
        <v/>
      </c>
      <c r="S2" s="20">
        <f>IF(LISTES!$G$9="",0,SUMIFS(SAISIE!$E$2:$E$501,SAISIE!$C$2:$C$501,LISTES!$G$9))</f>
        <v/>
      </c>
      <c r="T2" s="20">
        <f>IF(LISTES!$G$10="",0,SUMIFS(SAISIE!$E$2:$E$501,SAISIE!$C$2:$C$501,LISTES!$G$10))</f>
        <v/>
      </c>
      <c r="U2" s="20">
        <f>IF(LISTES!$G$11="",0,SUMIFS(SAISIE!$E$2:$E$501,SAISIE!$C$2:$C$501,LISTES!$G$11))</f>
        <v/>
      </c>
      <c r="V2" s="28">
        <f>IF(LISTES!$I$2="",0,SUMIFS(SAISIE!$E$2:$E$501,SAISIE!$C$2:$C$501,LISTES!$I$2))</f>
        <v/>
      </c>
      <c r="W2" s="28">
        <f>IF(LISTES!$I$3="",0,SUMIFS(SAISIE!$E$2:$E$501,SAISIE!$C$2:$C$501,LISTES!$I$3))</f>
        <v/>
      </c>
      <c r="X2" s="28">
        <f>IF(LISTES!$I$4="",0,SUMIFS(SAISIE!$E$2:$E$501,SAISIE!$C$2:$C$501,LISTES!$I$4))</f>
        <v/>
      </c>
      <c r="Y2" s="28">
        <f>IF(LISTES!$I$5="",0,SUMIFS(SAISIE!$E$2:$E$501,SAISIE!$C$2:$C$501,LISTES!$I$5))</f>
        <v/>
      </c>
      <c r="Z2" s="28">
        <f>IF(LISTES!$I$6="",0,SUMIFS(SAISIE!$E$2:$E$501,SAISIE!$C$2:$C$501,LISTES!$I$6))</f>
        <v/>
      </c>
      <c r="AA2" s="28">
        <f>IF(LISTES!$I$7="",0,SUMIFS(SAISIE!$E$2:$E$501,SAISIE!$C$2:$C$501,LISTES!$I$7))</f>
        <v/>
      </c>
      <c r="AB2" s="28">
        <f>IF(LISTES!$I$8="",0,SUMIFS(SAISIE!$E$2:$E$501,SAISIE!$C$2:$C$501,LISTES!$I$8))</f>
        <v/>
      </c>
      <c r="AC2" s="28">
        <f>IF(LISTES!$I$9="",0,SUMIFS(SAISIE!$E$2:$E$501,SAISIE!$C$2:$C$501,LISTES!$I$9))</f>
        <v/>
      </c>
      <c r="AD2" s="28">
        <f>IF(LISTES!$I$10="",0,SUMIFS(SAISIE!$E$2:$E$501,SAISIE!$C$2:$C$501,LISTES!$I$10))</f>
        <v/>
      </c>
      <c r="AE2" s="28">
        <f>IF(LISTES!$I$11="",0,SUMIFS(SAISIE!$E$2:$E$501,SAISIE!$C$2:$C$501,LISTES!$I$11))</f>
        <v/>
      </c>
    </row>
    <row r="3" ht="15" customHeight="1">
      <c r="A3" s="8">
        <f>LISTES!$A$3</f>
        <v/>
      </c>
      <c r="B3" s="12">
        <f>IF(LISTES!$E$2="",0,SUMIFS(SAISIE!$F$2:$F$501,SAISIE!$C$2:$C$501,LISTES!$E$2))</f>
        <v/>
      </c>
      <c r="C3" s="12">
        <f>IF(LISTES!$E$3="",0,SUMIFS(SAISIE!$F$2:$F$501,SAISIE!$C$2:$C$501,LISTES!$E$3))</f>
        <v/>
      </c>
      <c r="D3" s="12">
        <f>IF(LISTES!$E$4="",0,SUMIFS(SAISIE!$F$2:$F$501,SAISIE!$C$2:$C$501,LISTES!$E$4))</f>
        <v/>
      </c>
      <c r="E3" s="12">
        <f>IF(LISTES!$E$5="",0,SUMIFS(SAISIE!$F$2:$F$501,SAISIE!$C$2:$C$501,LISTES!$E$5))</f>
        <v/>
      </c>
      <c r="F3" s="12">
        <f>IF(LISTES!$E$6="",0,SUMIFS(SAISIE!$F$2:$F$501,SAISIE!$C$2:$C$501,LISTES!$E$6))</f>
        <v/>
      </c>
      <c r="G3" s="12">
        <f>IF(LISTES!$E$7="",0,SUMIFS(SAISIE!$F$2:$F$501,SAISIE!$C$2:$C$501,LISTES!$E$7))</f>
        <v/>
      </c>
      <c r="H3" s="12">
        <f>IF(LISTES!$E$8="",0,SUMIFS(SAISIE!$F$2:$F$501,SAISIE!$C$2:$C$501,LISTES!$E$8))</f>
        <v/>
      </c>
      <c r="I3" s="12">
        <f>IF(LISTES!$E$9="",0,SUMIFS(SAISIE!$F$2:$F$501,SAISIE!$C$2:$C$501,LISTES!$E$9))</f>
        <v/>
      </c>
      <c r="J3" s="12">
        <f>IF(LISTES!$E$10="",0,SUMIFS(SAISIE!$F$2:$F$501,SAISIE!$C$2:$C$501,LISTES!$E$10))</f>
        <v/>
      </c>
      <c r="K3" s="12">
        <f>IF(LISTES!$E$11="",0,SUMIFS(SAISIE!$F$2:$F$501,SAISIE!$C$2:$C$501,LISTES!$E$11))</f>
        <v/>
      </c>
      <c r="L3" s="20">
        <f>IF(LISTES!$G$2="",0,SUMIFS(SAISIE!$F$2:$F$501,SAISIE!$C$2:$C$501,LISTES!$G$2))</f>
        <v/>
      </c>
      <c r="M3" s="20">
        <f>IF(LISTES!$G$3="",0,SUMIFS(SAISIE!$F$2:$F$501,SAISIE!$C$2:$C$501,LISTES!$G$3))</f>
        <v/>
      </c>
      <c r="N3" s="20">
        <f>IF(LISTES!$G$4="",0,SUMIFS(SAISIE!$F$2:$F$501,SAISIE!$C$2:$C$501,LISTES!$G$4))</f>
        <v/>
      </c>
      <c r="O3" s="20">
        <f>IF(LISTES!$G$5="",0,SUMIFS(SAISIE!$F$2:$F$501,SAISIE!$C$2:$C$501,LISTES!$G$5))</f>
        <v/>
      </c>
      <c r="P3" s="20">
        <f>IF(LISTES!$G$6="",0,SUMIFS(SAISIE!$F$2:$F$501,SAISIE!$C$2:$C$501,LISTES!$G$6))</f>
        <v/>
      </c>
      <c r="Q3" s="20">
        <f>IF(LISTES!$G$7="",0,SUMIFS(SAISIE!$F$2:$F$501,SAISIE!$C$2:$C$501,LISTES!$G$7))</f>
        <v/>
      </c>
      <c r="R3" s="20">
        <f>IF(LISTES!$G$8="",0,SUMIFS(SAISIE!$F$2:$F$501,SAISIE!$C$2:$C$501,LISTES!$G$8))</f>
        <v/>
      </c>
      <c r="S3" s="20">
        <f>IF(LISTES!$G$9="",0,SUMIFS(SAISIE!$F$2:$F$501,SAISIE!$C$2:$C$501,LISTES!$G$9))</f>
        <v/>
      </c>
      <c r="T3" s="20">
        <f>IF(LISTES!$G$10="",0,SUMIFS(SAISIE!$F$2:$F$501,SAISIE!$C$2:$C$501,LISTES!$G$10))</f>
        <v/>
      </c>
      <c r="U3" s="20">
        <f>IF(LISTES!$G$11="",0,SUMIFS(SAISIE!$F$2:$F$501,SAISIE!$C$2:$C$501,LISTES!$G$11))</f>
        <v/>
      </c>
      <c r="V3" s="28">
        <f>IF(LISTES!$I$2="",0,SUMIFS(SAISIE!$F$2:$F$501,SAISIE!$C$2:$C$501,LISTES!$I$2))</f>
        <v/>
      </c>
      <c r="W3" s="28">
        <f>IF(LISTES!$I$3="",0,SUMIFS(SAISIE!$F$2:$F$501,SAISIE!$C$2:$C$501,LISTES!$I$3))</f>
        <v/>
      </c>
      <c r="X3" s="28">
        <f>IF(LISTES!$I$4="",0,SUMIFS(SAISIE!$F$2:$F$501,SAISIE!$C$2:$C$501,LISTES!$I$4))</f>
        <v/>
      </c>
      <c r="Y3" s="28">
        <f>IF(LISTES!$I$5="",0,SUMIFS(SAISIE!$F$2:$F$501,SAISIE!$C$2:$C$501,LISTES!$I$5))</f>
        <v/>
      </c>
      <c r="Z3" s="28">
        <f>IF(LISTES!$I$6="",0,SUMIFS(SAISIE!$F$2:$F$501,SAISIE!$C$2:$C$501,LISTES!$I$6))</f>
        <v/>
      </c>
      <c r="AA3" s="28">
        <f>IF(LISTES!$I$7="",0,SUMIFS(SAISIE!$F$2:$F$501,SAISIE!$C$2:$C$501,LISTES!$I$7))</f>
        <v/>
      </c>
      <c r="AB3" s="28">
        <f>IF(LISTES!$I$8="",0,SUMIFS(SAISIE!$F$2:$F$501,SAISIE!$C$2:$C$501,LISTES!$I$8))</f>
        <v/>
      </c>
      <c r="AC3" s="28">
        <f>IF(LISTES!$I$9="",0,SUMIFS(SAISIE!$F$2:$F$501,SAISIE!$C$2:$C$501,LISTES!$I$9))</f>
        <v/>
      </c>
      <c r="AD3" s="28">
        <f>IF(LISTES!$I$10="",0,SUMIFS(SAISIE!$F$2:$F$501,SAISIE!$C$2:$C$501,LISTES!$I$10))</f>
        <v/>
      </c>
      <c r="AE3" s="28">
        <f>IF(LISTES!$I$11="",0,SUMIFS(SAISIE!$F$2:$F$501,SAISIE!$C$2:$C$501,LISTES!$I$11))</f>
        <v/>
      </c>
    </row>
    <row r="4" ht="15" customHeight="1">
      <c r="A4" s="8">
        <f>LISTES!$A$4</f>
        <v/>
      </c>
      <c r="B4" s="12">
        <f>IF(LISTES!$E$2="",0,SUMIFS(SAISIE!$G$2:$G$501,SAISIE!$C$2:$C$501,LISTES!$E$2))</f>
        <v/>
      </c>
      <c r="C4" s="12">
        <f>IF(LISTES!$E$3="",0,SUMIFS(SAISIE!$G$2:$G$501,SAISIE!$C$2:$C$501,LISTES!$E$3))</f>
        <v/>
      </c>
      <c r="D4" s="12">
        <f>IF(LISTES!$E$4="",0,SUMIFS(SAISIE!$G$2:$G$501,SAISIE!$C$2:$C$501,LISTES!$E$4))</f>
        <v/>
      </c>
      <c r="E4" s="12">
        <f>IF(LISTES!$E$5="",0,SUMIFS(SAISIE!$G$2:$G$501,SAISIE!$C$2:$C$501,LISTES!$E$5))</f>
        <v/>
      </c>
      <c r="F4" s="12">
        <f>IF(LISTES!$E$6="",0,SUMIFS(SAISIE!$G$2:$G$501,SAISIE!$C$2:$C$501,LISTES!$E$6))</f>
        <v/>
      </c>
      <c r="G4" s="12">
        <f>IF(LISTES!$E$7="",0,SUMIFS(SAISIE!$G$2:$G$501,SAISIE!$C$2:$C$501,LISTES!$E$7))</f>
        <v/>
      </c>
      <c r="H4" s="12">
        <f>IF(LISTES!$E$8="",0,SUMIFS(SAISIE!$G$2:$G$501,SAISIE!$C$2:$C$501,LISTES!$E$8))</f>
        <v/>
      </c>
      <c r="I4" s="12">
        <f>IF(LISTES!$E$9="",0,SUMIFS(SAISIE!$G$2:$G$501,SAISIE!$C$2:$C$501,LISTES!$E$9))</f>
        <v/>
      </c>
      <c r="J4" s="12">
        <f>IF(LISTES!$E$10="",0,SUMIFS(SAISIE!$G$2:$G$501,SAISIE!$C$2:$C$501,LISTES!$E$10))</f>
        <v/>
      </c>
      <c r="K4" s="12">
        <f>IF(LISTES!$E$11="",0,SUMIFS(SAISIE!$G$2:$G$501,SAISIE!$C$2:$C$501,LISTES!$E$11))</f>
        <v/>
      </c>
      <c r="L4" s="20">
        <f>IF(LISTES!$G$2="",0,SUMIFS(SAISIE!$G$2:$G$501,SAISIE!$C$2:$C$501,LISTES!$G$2))</f>
        <v/>
      </c>
      <c r="M4" s="20">
        <f>IF(LISTES!$G$3="",0,SUMIFS(SAISIE!$G$2:$G$501,SAISIE!$C$2:$C$501,LISTES!$G$3))</f>
        <v/>
      </c>
      <c r="N4" s="20">
        <f>IF(LISTES!$G$4="",0,SUMIFS(SAISIE!$G$2:$G$501,SAISIE!$C$2:$C$501,LISTES!$G$4))</f>
        <v/>
      </c>
      <c r="O4" s="20">
        <f>IF(LISTES!$G$5="",0,SUMIFS(SAISIE!$G$2:$G$501,SAISIE!$C$2:$C$501,LISTES!$G$5))</f>
        <v/>
      </c>
      <c r="P4" s="20">
        <f>IF(LISTES!$G$6="",0,SUMIFS(SAISIE!$G$2:$G$501,SAISIE!$C$2:$C$501,LISTES!$G$6))</f>
        <v/>
      </c>
      <c r="Q4" s="20">
        <f>IF(LISTES!$G$7="",0,SUMIFS(SAISIE!$G$2:$G$501,SAISIE!$C$2:$C$501,LISTES!$G$7))</f>
        <v/>
      </c>
      <c r="R4" s="20">
        <f>IF(LISTES!$G$8="",0,SUMIFS(SAISIE!$G$2:$G$501,SAISIE!$C$2:$C$501,LISTES!$G$8))</f>
        <v/>
      </c>
      <c r="S4" s="20">
        <f>IF(LISTES!$G$9="",0,SUMIFS(SAISIE!$G$2:$G$501,SAISIE!$C$2:$C$501,LISTES!$G$9))</f>
        <v/>
      </c>
      <c r="T4" s="20">
        <f>IF(LISTES!$G$10="",0,SUMIFS(SAISIE!$G$2:$G$501,SAISIE!$C$2:$C$501,LISTES!$G$10))</f>
        <v/>
      </c>
      <c r="U4" s="20">
        <f>IF(LISTES!$G$11="",0,SUMIFS(SAISIE!$G$2:$G$501,SAISIE!$C$2:$C$501,LISTES!$G$11))</f>
        <v/>
      </c>
      <c r="V4" s="28">
        <f>IF(LISTES!$I$2="",0,SUMIFS(SAISIE!$G$2:$G$501,SAISIE!$C$2:$C$501,LISTES!$I$2))</f>
        <v/>
      </c>
      <c r="W4" s="28">
        <f>IF(LISTES!$I$3="",0,SUMIFS(SAISIE!$G$2:$G$501,SAISIE!$C$2:$C$501,LISTES!$I$3))</f>
        <v/>
      </c>
      <c r="X4" s="28">
        <f>IF(LISTES!$I$4="",0,SUMIFS(SAISIE!$G$2:$G$501,SAISIE!$C$2:$C$501,LISTES!$I$4))</f>
        <v/>
      </c>
      <c r="Y4" s="28">
        <f>IF(LISTES!$I$5="",0,SUMIFS(SAISIE!$G$2:$G$501,SAISIE!$C$2:$C$501,LISTES!$I$5))</f>
        <v/>
      </c>
      <c r="Z4" s="28">
        <f>IF(LISTES!$I$6="",0,SUMIFS(SAISIE!$G$2:$G$501,SAISIE!$C$2:$C$501,LISTES!$I$6))</f>
        <v/>
      </c>
      <c r="AA4" s="28">
        <f>IF(LISTES!$I$7="",0,SUMIFS(SAISIE!$G$2:$G$501,SAISIE!$C$2:$C$501,LISTES!$I$7))</f>
        <v/>
      </c>
      <c r="AB4" s="28">
        <f>IF(LISTES!$I$8="",0,SUMIFS(SAISIE!$G$2:$G$501,SAISIE!$C$2:$C$501,LISTES!$I$8))</f>
        <v/>
      </c>
      <c r="AC4" s="28">
        <f>IF(LISTES!$I$9="",0,SUMIFS(SAISIE!$G$2:$G$501,SAISIE!$C$2:$C$501,LISTES!$I$9))</f>
        <v/>
      </c>
      <c r="AD4" s="28">
        <f>IF(LISTES!$I$10="",0,SUMIFS(SAISIE!$G$2:$G$501,SAISIE!$C$2:$C$501,LISTES!$I$10))</f>
        <v/>
      </c>
      <c r="AE4" s="28">
        <f>IF(LISTES!$I$11="",0,SUMIFS(SAISIE!$G$2:$G$501,SAISIE!$C$2:$C$501,LISTES!$I$11))</f>
        <v/>
      </c>
    </row>
    <row r="5" ht="15" customHeight="1">
      <c r="A5" s="8">
        <f>LISTES!$A$5</f>
        <v/>
      </c>
      <c r="B5" s="12">
        <f>IF(LISTES!$E$2="",0,SUMIFS(SAISIE!$H$2:$H$501,SAISIE!$C$2:$C$501,LISTES!$E$2))</f>
        <v/>
      </c>
      <c r="C5" s="12">
        <f>IF(LISTES!$E$3="",0,SUMIFS(SAISIE!$H$2:$H$501,SAISIE!$C$2:$C$501,LISTES!$E$3))</f>
        <v/>
      </c>
      <c r="D5" s="12">
        <f>IF(LISTES!$E$4="",0,SUMIFS(SAISIE!$H$2:$H$501,SAISIE!$C$2:$C$501,LISTES!$E$4))</f>
        <v/>
      </c>
      <c r="E5" s="12">
        <f>IF(LISTES!$E$5="",0,SUMIFS(SAISIE!$H$2:$H$501,SAISIE!$C$2:$C$501,LISTES!$E$5))</f>
        <v/>
      </c>
      <c r="F5" s="12">
        <f>IF(LISTES!$E$6="",0,SUMIFS(SAISIE!$H$2:$H$501,SAISIE!$C$2:$C$501,LISTES!$E$6))</f>
        <v/>
      </c>
      <c r="G5" s="12">
        <f>IF(LISTES!$E$7="",0,SUMIFS(SAISIE!$H$2:$H$501,SAISIE!$C$2:$C$501,LISTES!$E$7))</f>
        <v/>
      </c>
      <c r="H5" s="12">
        <f>IF(LISTES!$E$8="",0,SUMIFS(SAISIE!$H$2:$H$501,SAISIE!$C$2:$C$501,LISTES!$E$8))</f>
        <v/>
      </c>
      <c r="I5" s="12">
        <f>IF(LISTES!$E$9="",0,SUMIFS(SAISIE!$H$2:$H$501,SAISIE!$C$2:$C$501,LISTES!$E$9))</f>
        <v/>
      </c>
      <c r="J5" s="12">
        <f>IF(LISTES!$E$10="",0,SUMIFS(SAISIE!$H$2:$H$501,SAISIE!$C$2:$C$501,LISTES!$E$10))</f>
        <v/>
      </c>
      <c r="K5" s="12">
        <f>IF(LISTES!$E$11="",0,SUMIFS(SAISIE!$H$2:$H$501,SAISIE!$C$2:$C$501,LISTES!$E$11))</f>
        <v/>
      </c>
      <c r="L5" s="20">
        <f>IF(LISTES!$G$2="",0,SUMIFS(SAISIE!$H$2:$H$501,SAISIE!$C$2:$C$501,LISTES!$G$2))</f>
        <v/>
      </c>
      <c r="M5" s="20">
        <f>IF(LISTES!$G$3="",0,SUMIFS(SAISIE!$H$2:$H$501,SAISIE!$C$2:$C$501,LISTES!$G$3))</f>
        <v/>
      </c>
      <c r="N5" s="20">
        <f>IF(LISTES!$G$4="",0,SUMIFS(SAISIE!$H$2:$H$501,SAISIE!$C$2:$C$501,LISTES!$G$4))</f>
        <v/>
      </c>
      <c r="O5" s="20">
        <f>IF(LISTES!$G$5="",0,SUMIFS(SAISIE!$H$2:$H$501,SAISIE!$C$2:$C$501,LISTES!$G$5))</f>
        <v/>
      </c>
      <c r="P5" s="20">
        <f>IF(LISTES!$G$6="",0,SUMIFS(SAISIE!$H$2:$H$501,SAISIE!$C$2:$C$501,LISTES!$G$6))</f>
        <v/>
      </c>
      <c r="Q5" s="20">
        <f>IF(LISTES!$G$7="",0,SUMIFS(SAISIE!$H$2:$H$501,SAISIE!$C$2:$C$501,LISTES!$G$7))</f>
        <v/>
      </c>
      <c r="R5" s="20">
        <f>IF(LISTES!$G$8="",0,SUMIFS(SAISIE!$H$2:$H$501,SAISIE!$C$2:$C$501,LISTES!$G$8))</f>
        <v/>
      </c>
      <c r="S5" s="20">
        <f>IF(LISTES!$G$9="",0,SUMIFS(SAISIE!$H$2:$H$501,SAISIE!$C$2:$C$501,LISTES!$G$9))</f>
        <v/>
      </c>
      <c r="T5" s="20">
        <f>IF(LISTES!$G$10="",0,SUMIFS(SAISIE!$H$2:$H$501,SAISIE!$C$2:$C$501,LISTES!$G$10))</f>
        <v/>
      </c>
      <c r="U5" s="20">
        <f>IF(LISTES!$G$11="",0,SUMIFS(SAISIE!$H$2:$H$501,SAISIE!$C$2:$C$501,LISTES!$G$11))</f>
        <v/>
      </c>
      <c r="V5" s="28">
        <f>IF(LISTES!$I$2="",0,SUMIFS(SAISIE!$H$2:$H$501,SAISIE!$C$2:$C$501,LISTES!$I$2))</f>
        <v/>
      </c>
      <c r="W5" s="28">
        <f>IF(LISTES!$I$3="",0,SUMIFS(SAISIE!$H$2:$H$501,SAISIE!$C$2:$C$501,LISTES!$I$3))</f>
        <v/>
      </c>
      <c r="X5" s="28">
        <f>IF(LISTES!$I$4="",0,SUMIFS(SAISIE!$H$2:$H$501,SAISIE!$C$2:$C$501,LISTES!$I$4))</f>
        <v/>
      </c>
      <c r="Y5" s="28">
        <f>IF(LISTES!$I$5="",0,SUMIFS(SAISIE!$H$2:$H$501,SAISIE!$C$2:$C$501,LISTES!$I$5))</f>
        <v/>
      </c>
      <c r="Z5" s="28">
        <f>IF(LISTES!$I$6="",0,SUMIFS(SAISIE!$H$2:$H$501,SAISIE!$C$2:$C$501,LISTES!$I$6))</f>
        <v/>
      </c>
      <c r="AA5" s="28">
        <f>IF(LISTES!$I$7="",0,SUMIFS(SAISIE!$H$2:$H$501,SAISIE!$C$2:$C$501,LISTES!$I$7))</f>
        <v/>
      </c>
      <c r="AB5" s="28">
        <f>IF(LISTES!$I$8="",0,SUMIFS(SAISIE!$H$2:$H$501,SAISIE!$C$2:$C$501,LISTES!$I$8))</f>
        <v/>
      </c>
      <c r="AC5" s="28">
        <f>IF(LISTES!$I$9="",0,SUMIFS(SAISIE!$H$2:$H$501,SAISIE!$C$2:$C$501,LISTES!$I$9))</f>
        <v/>
      </c>
      <c r="AD5" s="28">
        <f>IF(LISTES!$I$10="",0,SUMIFS(SAISIE!$H$2:$H$501,SAISIE!$C$2:$C$501,LISTES!$I$10))</f>
        <v/>
      </c>
      <c r="AE5" s="28">
        <f>IF(LISTES!$I$11="",0,SUMIFS(SAISIE!$H$2:$H$501,SAISIE!$C$2:$C$501,LISTES!$I$11))</f>
        <v/>
      </c>
    </row>
    <row r="6" ht="15" customHeight="1">
      <c r="A6" s="8">
        <f>LISTES!$A$6</f>
        <v/>
      </c>
      <c r="B6" s="12">
        <f>IF(LISTES!$E$2="",0,SUMIFS(SAISIE!$I$2:$I$501,SAISIE!$C$2:$C$501,LISTES!$E$2))</f>
        <v/>
      </c>
      <c r="C6" s="12">
        <f>IF(LISTES!$E$3="",0,SUMIFS(SAISIE!$I$2:$I$501,SAISIE!$C$2:$C$501,LISTES!$E$3))</f>
        <v/>
      </c>
      <c r="D6" s="12">
        <f>IF(LISTES!$E$4="",0,SUMIFS(SAISIE!$I$2:$I$501,SAISIE!$C$2:$C$501,LISTES!$E$4))</f>
        <v/>
      </c>
      <c r="E6" s="12">
        <f>IF(LISTES!$E$5="",0,SUMIFS(SAISIE!$I$2:$I$501,SAISIE!$C$2:$C$501,LISTES!$E$5))</f>
        <v/>
      </c>
      <c r="F6" s="12">
        <f>IF(LISTES!$E$6="",0,SUMIFS(SAISIE!$I$2:$I$501,SAISIE!$C$2:$C$501,LISTES!$E$6))</f>
        <v/>
      </c>
      <c r="G6" s="12">
        <f>IF(LISTES!$E$7="",0,SUMIFS(SAISIE!$I$2:$I$501,SAISIE!$C$2:$C$501,LISTES!$E$7))</f>
        <v/>
      </c>
      <c r="H6" s="12">
        <f>IF(LISTES!$E$8="",0,SUMIFS(SAISIE!$I$2:$I$501,SAISIE!$C$2:$C$501,LISTES!$E$8))</f>
        <v/>
      </c>
      <c r="I6" s="12">
        <f>IF(LISTES!$E$9="",0,SUMIFS(SAISIE!$I$2:$I$501,SAISIE!$C$2:$C$501,LISTES!$E$9))</f>
        <v/>
      </c>
      <c r="J6" s="12">
        <f>IF(LISTES!$E$10="",0,SUMIFS(SAISIE!$I$2:$I$501,SAISIE!$C$2:$C$501,LISTES!$E$10))</f>
        <v/>
      </c>
      <c r="K6" s="12">
        <f>IF(LISTES!$E$11="",0,SUMIFS(SAISIE!$I$2:$I$501,SAISIE!$C$2:$C$501,LISTES!$E$11))</f>
        <v/>
      </c>
      <c r="L6" s="20">
        <f>IF(LISTES!$G$2="",0,SUMIFS(SAISIE!$I$2:$I$501,SAISIE!$C$2:$C$501,LISTES!$G$2))</f>
        <v/>
      </c>
      <c r="M6" s="20">
        <f>IF(LISTES!$G$3="",0,SUMIFS(SAISIE!$I$2:$I$501,SAISIE!$C$2:$C$501,LISTES!$G$3))</f>
        <v/>
      </c>
      <c r="N6" s="20">
        <f>IF(LISTES!$G$4="",0,SUMIFS(SAISIE!$I$2:$I$501,SAISIE!$C$2:$C$501,LISTES!$G$4))</f>
        <v/>
      </c>
      <c r="O6" s="20">
        <f>IF(LISTES!$G$5="",0,SUMIFS(SAISIE!$I$2:$I$501,SAISIE!$C$2:$C$501,LISTES!$G$5))</f>
        <v/>
      </c>
      <c r="P6" s="20">
        <f>IF(LISTES!$G$6="",0,SUMIFS(SAISIE!$I$2:$I$501,SAISIE!$C$2:$C$501,LISTES!$G$6))</f>
        <v/>
      </c>
      <c r="Q6" s="20">
        <f>IF(LISTES!$G$7="",0,SUMIFS(SAISIE!$I$2:$I$501,SAISIE!$C$2:$C$501,LISTES!$G$7))</f>
        <v/>
      </c>
      <c r="R6" s="20">
        <f>IF(LISTES!$G$8="",0,SUMIFS(SAISIE!$I$2:$I$501,SAISIE!$C$2:$C$501,LISTES!$G$8))</f>
        <v/>
      </c>
      <c r="S6" s="20">
        <f>IF(LISTES!$G$9="",0,SUMIFS(SAISIE!$I$2:$I$501,SAISIE!$C$2:$C$501,LISTES!$G$9))</f>
        <v/>
      </c>
      <c r="T6" s="20">
        <f>IF(LISTES!$G$10="",0,SUMIFS(SAISIE!$I$2:$I$501,SAISIE!$C$2:$C$501,LISTES!$G$10))</f>
        <v/>
      </c>
      <c r="U6" s="20">
        <f>IF(LISTES!$G$11="",0,SUMIFS(SAISIE!$I$2:$I$501,SAISIE!$C$2:$C$501,LISTES!$G$11))</f>
        <v/>
      </c>
      <c r="V6" s="28">
        <f>IF(LISTES!$I$2="",0,SUMIFS(SAISIE!$I$2:$I$501,SAISIE!$C$2:$C$501,LISTES!$I$2))</f>
        <v/>
      </c>
      <c r="W6" s="28">
        <f>IF(LISTES!$I$3="",0,SUMIFS(SAISIE!$I$2:$I$501,SAISIE!$C$2:$C$501,LISTES!$I$3))</f>
        <v/>
      </c>
      <c r="X6" s="28">
        <f>IF(LISTES!$I$4="",0,SUMIFS(SAISIE!$I$2:$I$501,SAISIE!$C$2:$C$501,LISTES!$I$4))</f>
        <v/>
      </c>
      <c r="Y6" s="28">
        <f>IF(LISTES!$I$5="",0,SUMIFS(SAISIE!$I$2:$I$501,SAISIE!$C$2:$C$501,LISTES!$I$5))</f>
        <v/>
      </c>
      <c r="Z6" s="28">
        <f>IF(LISTES!$I$6="",0,SUMIFS(SAISIE!$I$2:$I$501,SAISIE!$C$2:$C$501,LISTES!$I$6))</f>
        <v/>
      </c>
      <c r="AA6" s="28">
        <f>IF(LISTES!$I$7="",0,SUMIFS(SAISIE!$I$2:$I$501,SAISIE!$C$2:$C$501,LISTES!$I$7))</f>
        <v/>
      </c>
      <c r="AB6" s="28">
        <f>IF(LISTES!$I$8="",0,SUMIFS(SAISIE!$I$2:$I$501,SAISIE!$C$2:$C$501,LISTES!$I$8))</f>
        <v/>
      </c>
      <c r="AC6" s="28">
        <f>IF(LISTES!$I$9="",0,SUMIFS(SAISIE!$I$2:$I$501,SAISIE!$C$2:$C$501,LISTES!$I$9))</f>
        <v/>
      </c>
      <c r="AD6" s="28">
        <f>IF(LISTES!$I$10="",0,SUMIFS(SAISIE!$I$2:$I$501,SAISIE!$C$2:$C$501,LISTES!$I$10))</f>
        <v/>
      </c>
      <c r="AE6" s="28">
        <f>IF(LISTES!$I$11="",0,SUMIFS(SAISIE!$I$2:$I$501,SAISIE!$C$2:$C$501,LISTES!$I$11))</f>
        <v/>
      </c>
    </row>
    <row r="7" ht="15" customHeight="1">
      <c r="A7" s="8">
        <f>LISTES!$A$7</f>
        <v/>
      </c>
      <c r="B7" s="12">
        <f>IF(LISTES!$E$2="",0,SUMIFS(SAISIE!$J$2:$J$501,SAISIE!$C$2:$C$501,LISTES!$E$2))</f>
        <v/>
      </c>
      <c r="C7" s="12">
        <f>IF(LISTES!$E$3="",0,SUMIFS(SAISIE!$J$2:$J$501,SAISIE!$C$2:$C$501,LISTES!$E$3))</f>
        <v/>
      </c>
      <c r="D7" s="12">
        <f>IF(LISTES!$E$4="",0,SUMIFS(SAISIE!$J$2:$J$501,SAISIE!$C$2:$C$501,LISTES!$E$4))</f>
        <v/>
      </c>
      <c r="E7" s="12">
        <f>IF(LISTES!$E$5="",0,SUMIFS(SAISIE!$J$2:$J$501,SAISIE!$C$2:$C$501,LISTES!$E$5))</f>
        <v/>
      </c>
      <c r="F7" s="12">
        <f>IF(LISTES!$E$6="",0,SUMIFS(SAISIE!$J$2:$J$501,SAISIE!$C$2:$C$501,LISTES!$E$6))</f>
        <v/>
      </c>
      <c r="G7" s="12">
        <f>IF(LISTES!$E$7="",0,SUMIFS(SAISIE!$J$2:$J$501,SAISIE!$C$2:$C$501,LISTES!$E$7))</f>
        <v/>
      </c>
      <c r="H7" s="12">
        <f>IF(LISTES!$E$8="",0,SUMIFS(SAISIE!$J$2:$J$501,SAISIE!$C$2:$C$501,LISTES!$E$8))</f>
        <v/>
      </c>
      <c r="I7" s="12">
        <f>IF(LISTES!$E$9="",0,SUMIFS(SAISIE!$J$2:$J$501,SAISIE!$C$2:$C$501,LISTES!$E$9))</f>
        <v/>
      </c>
      <c r="J7" s="12">
        <f>IF(LISTES!$E$10="",0,SUMIFS(SAISIE!$J$2:$J$501,SAISIE!$C$2:$C$501,LISTES!$E$10))</f>
        <v/>
      </c>
      <c r="K7" s="12">
        <f>IF(LISTES!$E$11="",0,SUMIFS(SAISIE!$J$2:$J$501,SAISIE!$C$2:$C$501,LISTES!$E$11))</f>
        <v/>
      </c>
      <c r="L7" s="20">
        <f>IF(LISTES!$G$2="",0,SUMIFS(SAISIE!$J$2:$J$501,SAISIE!$C$2:$C$501,LISTES!$G$2))</f>
        <v/>
      </c>
      <c r="M7" s="20">
        <f>IF(LISTES!$G$3="",0,SUMIFS(SAISIE!$J$2:$J$501,SAISIE!$C$2:$C$501,LISTES!$G$3))</f>
        <v/>
      </c>
      <c r="N7" s="20">
        <f>IF(LISTES!$G$4="",0,SUMIFS(SAISIE!$J$2:$J$501,SAISIE!$C$2:$C$501,LISTES!$G$4))</f>
        <v/>
      </c>
      <c r="O7" s="20">
        <f>IF(LISTES!$G$5="",0,SUMIFS(SAISIE!$J$2:$J$501,SAISIE!$C$2:$C$501,LISTES!$G$5))</f>
        <v/>
      </c>
      <c r="P7" s="20">
        <f>IF(LISTES!$G$6="",0,SUMIFS(SAISIE!$J$2:$J$501,SAISIE!$C$2:$C$501,LISTES!$G$6))</f>
        <v/>
      </c>
      <c r="Q7" s="20">
        <f>IF(LISTES!$G$7="",0,SUMIFS(SAISIE!$J$2:$J$501,SAISIE!$C$2:$C$501,LISTES!$G$7))</f>
        <v/>
      </c>
      <c r="R7" s="20">
        <f>IF(LISTES!$G$8="",0,SUMIFS(SAISIE!$J$2:$J$501,SAISIE!$C$2:$C$501,LISTES!$G$8))</f>
        <v/>
      </c>
      <c r="S7" s="20">
        <f>IF(LISTES!$G$9="",0,SUMIFS(SAISIE!$J$2:$J$501,SAISIE!$C$2:$C$501,LISTES!$G$9))</f>
        <v/>
      </c>
      <c r="T7" s="20">
        <f>IF(LISTES!$G$10="",0,SUMIFS(SAISIE!$J$2:$J$501,SAISIE!$C$2:$C$501,LISTES!$G$10))</f>
        <v/>
      </c>
      <c r="U7" s="20">
        <f>IF(LISTES!$G$11="",0,SUMIFS(SAISIE!$J$2:$J$501,SAISIE!$C$2:$C$501,LISTES!$G$11))</f>
        <v/>
      </c>
      <c r="V7" s="28">
        <f>IF(LISTES!$I$2="",0,SUMIFS(SAISIE!$J$2:$J$501,SAISIE!$C$2:$C$501,LISTES!$I$2))</f>
        <v/>
      </c>
      <c r="W7" s="28">
        <f>IF(LISTES!$I$3="",0,SUMIFS(SAISIE!$J$2:$J$501,SAISIE!$C$2:$C$501,LISTES!$I$3))</f>
        <v/>
      </c>
      <c r="X7" s="28">
        <f>IF(LISTES!$I$4="",0,SUMIFS(SAISIE!$J$2:$J$501,SAISIE!$C$2:$C$501,LISTES!$I$4))</f>
        <v/>
      </c>
      <c r="Y7" s="28">
        <f>IF(LISTES!$I$5="",0,SUMIFS(SAISIE!$J$2:$J$501,SAISIE!$C$2:$C$501,LISTES!$I$5))</f>
        <v/>
      </c>
      <c r="Z7" s="28">
        <f>IF(LISTES!$I$6="",0,SUMIFS(SAISIE!$J$2:$J$501,SAISIE!$C$2:$C$501,LISTES!$I$6))</f>
        <v/>
      </c>
      <c r="AA7" s="28">
        <f>IF(LISTES!$I$7="",0,SUMIFS(SAISIE!$J$2:$J$501,SAISIE!$C$2:$C$501,LISTES!$I$7))</f>
        <v/>
      </c>
      <c r="AB7" s="28">
        <f>IF(LISTES!$I$8="",0,SUMIFS(SAISIE!$J$2:$J$501,SAISIE!$C$2:$C$501,LISTES!$I$8))</f>
        <v/>
      </c>
      <c r="AC7" s="28">
        <f>IF(LISTES!$I$9="",0,SUMIFS(SAISIE!$J$2:$J$501,SAISIE!$C$2:$C$501,LISTES!$I$9))</f>
        <v/>
      </c>
      <c r="AD7" s="28">
        <f>IF(LISTES!$I$10="",0,SUMIFS(SAISIE!$J$2:$J$501,SAISIE!$C$2:$C$501,LISTES!$I$10))</f>
        <v/>
      </c>
      <c r="AE7" s="28">
        <f>IF(LISTES!$I$11="",0,SUMIFS(SAISIE!$J$2:$J$501,SAISIE!$C$2:$C$501,LISTES!$I$11))</f>
        <v/>
      </c>
    </row>
    <row r="8" hidden="1" ht="15" customHeight="1">
      <c r="A8" s="8">
        <f>LISTES!$A$8</f>
        <v/>
      </c>
      <c r="B8" s="12">
        <f>IF(LISTES!$E$2="",0,SUMIFS(SAISIE!$K$2:$K$501,SAISIE!$C$2:$C$501,LISTES!$E$2))</f>
        <v/>
      </c>
      <c r="C8" s="12">
        <f>IF(LISTES!$E$3="",0,SUMIFS(SAISIE!$K$2:$K$501,SAISIE!$C$2:$C$501,LISTES!$E$3))</f>
        <v/>
      </c>
      <c r="D8" s="12">
        <f>IF(LISTES!$E$4="",0,SUMIFS(SAISIE!$K$2:$K$501,SAISIE!$C$2:$C$501,LISTES!$E$4))</f>
        <v/>
      </c>
      <c r="E8" s="12">
        <f>IF(LISTES!$E$5="",0,SUMIFS(SAISIE!$K$2:$K$501,SAISIE!$C$2:$C$501,LISTES!$E$5))</f>
        <v/>
      </c>
      <c r="F8" s="12">
        <f>IF(LISTES!$E$6="",0,SUMIFS(SAISIE!$K$2:$K$501,SAISIE!$C$2:$C$501,LISTES!$E$6))</f>
        <v/>
      </c>
      <c r="G8" s="12">
        <f>IF(LISTES!$E$7="",0,SUMIFS(SAISIE!$K$2:$K$501,SAISIE!$C$2:$C$501,LISTES!$E$7))</f>
        <v/>
      </c>
      <c r="H8" s="12">
        <f>IF(LISTES!$E$8="",0,SUMIFS(SAISIE!$K$2:$K$501,SAISIE!$C$2:$C$501,LISTES!$E$8))</f>
        <v/>
      </c>
      <c r="I8" s="12">
        <f>IF(LISTES!$E$9="",0,SUMIFS(SAISIE!$K$2:$K$501,SAISIE!$C$2:$C$501,LISTES!$E$9))</f>
        <v/>
      </c>
      <c r="J8" s="12">
        <f>IF(LISTES!$E$10="",0,SUMIFS(SAISIE!$K$2:$K$501,SAISIE!$C$2:$C$501,LISTES!$E$10))</f>
        <v/>
      </c>
      <c r="K8" s="12">
        <f>IF(LISTES!$E$11="",0,SUMIFS(SAISIE!$K$2:$K$501,SAISIE!$C$2:$C$501,LISTES!$E$11))</f>
        <v/>
      </c>
      <c r="L8" s="20">
        <f>IF(LISTES!$G$2="",0,SUMIFS(SAISIE!$K$2:$K$501,SAISIE!$C$2:$C$501,LISTES!$G$2))</f>
        <v/>
      </c>
      <c r="M8" s="20">
        <f>IF(LISTES!$G$3="",0,SUMIFS(SAISIE!$K$2:$K$501,SAISIE!$C$2:$C$501,LISTES!$G$3))</f>
        <v/>
      </c>
      <c r="N8" s="20">
        <f>IF(LISTES!$G$4="",0,SUMIFS(SAISIE!$K$2:$K$501,SAISIE!$C$2:$C$501,LISTES!$G$4))</f>
        <v/>
      </c>
      <c r="O8" s="20">
        <f>IF(LISTES!$G$5="",0,SUMIFS(SAISIE!$K$2:$K$501,SAISIE!$C$2:$C$501,LISTES!$G$5))</f>
        <v/>
      </c>
      <c r="P8" s="20">
        <f>IF(LISTES!$G$6="",0,SUMIFS(SAISIE!$K$2:$K$501,SAISIE!$C$2:$C$501,LISTES!$G$6))</f>
        <v/>
      </c>
      <c r="Q8" s="20">
        <f>IF(LISTES!$G$7="",0,SUMIFS(SAISIE!$K$2:$K$501,SAISIE!$C$2:$C$501,LISTES!$G$7))</f>
        <v/>
      </c>
      <c r="R8" s="20">
        <f>IF(LISTES!$G$8="",0,SUMIFS(SAISIE!$K$2:$K$501,SAISIE!$C$2:$C$501,LISTES!$G$8))</f>
        <v/>
      </c>
      <c r="S8" s="20">
        <f>IF(LISTES!$G$9="",0,SUMIFS(SAISIE!$K$2:$K$501,SAISIE!$C$2:$C$501,LISTES!$G$9))</f>
        <v/>
      </c>
      <c r="T8" s="20">
        <f>IF(LISTES!$G$10="",0,SUMIFS(SAISIE!$K$2:$K$501,SAISIE!$C$2:$C$501,LISTES!$G$10))</f>
        <v/>
      </c>
      <c r="U8" s="20">
        <f>IF(LISTES!$G$11="",0,SUMIFS(SAISIE!$K$2:$K$501,SAISIE!$C$2:$C$501,LISTES!$G$11))</f>
        <v/>
      </c>
      <c r="V8" s="28">
        <f>IF(LISTES!$I$2="",0,SUMIFS(SAISIE!$K$2:$K$501,SAISIE!$C$2:$C$501,LISTES!$I$2))</f>
        <v/>
      </c>
      <c r="W8" s="28">
        <f>IF(LISTES!$I$3="",0,SUMIFS(SAISIE!$K$2:$K$501,SAISIE!$C$2:$C$501,LISTES!$I$3))</f>
        <v/>
      </c>
      <c r="X8" s="28">
        <f>IF(LISTES!$I$4="",0,SUMIFS(SAISIE!$K$2:$K$501,SAISIE!$C$2:$C$501,LISTES!$I$4))</f>
        <v/>
      </c>
      <c r="Y8" s="28">
        <f>IF(LISTES!$I$5="",0,SUMIFS(SAISIE!$K$2:$K$501,SAISIE!$C$2:$C$501,LISTES!$I$5))</f>
        <v/>
      </c>
      <c r="Z8" s="28">
        <f>IF(LISTES!$I$6="",0,SUMIFS(SAISIE!$K$2:$K$501,SAISIE!$C$2:$C$501,LISTES!$I$6))</f>
        <v/>
      </c>
      <c r="AA8" s="28">
        <f>IF(LISTES!$I$7="",0,SUMIFS(SAISIE!$K$2:$K$501,SAISIE!$C$2:$C$501,LISTES!$I$7))</f>
        <v/>
      </c>
      <c r="AB8" s="28">
        <f>IF(LISTES!$I$8="",0,SUMIFS(SAISIE!$K$2:$K$501,SAISIE!$C$2:$C$501,LISTES!$I$8))</f>
        <v/>
      </c>
      <c r="AC8" s="28">
        <f>IF(LISTES!$I$9="",0,SUMIFS(SAISIE!$K$2:$K$501,SAISIE!$C$2:$C$501,LISTES!$I$9))</f>
        <v/>
      </c>
      <c r="AD8" s="28">
        <f>IF(LISTES!$I$10="",0,SUMIFS(SAISIE!$K$2:$K$501,SAISIE!$C$2:$C$501,LISTES!$I$10))</f>
        <v/>
      </c>
      <c r="AE8" s="28">
        <f>IF(LISTES!$I$11="",0,SUMIFS(SAISIE!$K$2:$K$501,SAISIE!$C$2:$C$501,LISTES!$I$11))</f>
        <v/>
      </c>
    </row>
    <row r="9" hidden="1" ht="15" customHeight="1">
      <c r="A9" s="8">
        <f>LISTES!$A$9</f>
        <v/>
      </c>
      <c r="B9" s="12">
        <f>IF(LISTES!$E$2="",0,SUMIFS(SAISIE!$L$2:$L$501,SAISIE!$C$2:$C$501,LISTES!$E$2))</f>
        <v/>
      </c>
      <c r="C9" s="12">
        <f>IF(LISTES!$E$3="",0,SUMIFS(SAISIE!$L$2:$L$501,SAISIE!$C$2:$C$501,LISTES!$E$3))</f>
        <v/>
      </c>
      <c r="D9" s="12">
        <f>IF(LISTES!$E$4="",0,SUMIFS(SAISIE!$L$2:$L$501,SAISIE!$C$2:$C$501,LISTES!$E$4))</f>
        <v/>
      </c>
      <c r="E9" s="12">
        <f>IF(LISTES!$E$5="",0,SUMIFS(SAISIE!$L$2:$L$501,SAISIE!$C$2:$C$501,LISTES!$E$5))</f>
        <v/>
      </c>
      <c r="F9" s="12">
        <f>IF(LISTES!$E$6="",0,SUMIFS(SAISIE!$L$2:$L$501,SAISIE!$C$2:$C$501,LISTES!$E$6))</f>
        <v/>
      </c>
      <c r="G9" s="12">
        <f>IF(LISTES!$E$7="",0,SUMIFS(SAISIE!$L$2:$L$501,SAISIE!$C$2:$C$501,LISTES!$E$7))</f>
        <v/>
      </c>
      <c r="H9" s="12">
        <f>IF(LISTES!$E$8="",0,SUMIFS(SAISIE!$L$2:$L$501,SAISIE!$C$2:$C$501,LISTES!$E$8))</f>
        <v/>
      </c>
      <c r="I9" s="12">
        <f>IF(LISTES!$E$9="",0,SUMIFS(SAISIE!$L$2:$L$501,SAISIE!$C$2:$C$501,LISTES!$E$9))</f>
        <v/>
      </c>
      <c r="J9" s="12">
        <f>IF(LISTES!$E$10="",0,SUMIFS(SAISIE!$L$2:$L$501,SAISIE!$C$2:$C$501,LISTES!$E$10))</f>
        <v/>
      </c>
      <c r="K9" s="12">
        <f>IF(LISTES!$E$11="",0,SUMIFS(SAISIE!$L$2:$L$501,SAISIE!$C$2:$C$501,LISTES!$E$11))</f>
        <v/>
      </c>
      <c r="L9" s="20">
        <f>IF(LISTES!$G$2="",0,SUMIFS(SAISIE!$L$2:$L$501,SAISIE!$C$2:$C$501,LISTES!$G$2))</f>
        <v/>
      </c>
      <c r="M9" s="20">
        <f>IF(LISTES!$G$3="",0,SUMIFS(SAISIE!$L$2:$L$501,SAISIE!$C$2:$C$501,LISTES!$G$3))</f>
        <v/>
      </c>
      <c r="N9" s="20">
        <f>IF(LISTES!$G$4="",0,SUMIFS(SAISIE!$L$2:$L$501,SAISIE!$C$2:$C$501,LISTES!$G$4))</f>
        <v/>
      </c>
      <c r="O9" s="20">
        <f>IF(LISTES!$G$5="",0,SUMIFS(SAISIE!$L$2:$L$501,SAISIE!$C$2:$C$501,LISTES!$G$5))</f>
        <v/>
      </c>
      <c r="P9" s="20">
        <f>IF(LISTES!$G$6="",0,SUMIFS(SAISIE!$L$2:$L$501,SAISIE!$C$2:$C$501,LISTES!$G$6))</f>
        <v/>
      </c>
      <c r="Q9" s="20">
        <f>IF(LISTES!$G$7="",0,SUMIFS(SAISIE!$L$2:$L$501,SAISIE!$C$2:$C$501,LISTES!$G$7))</f>
        <v/>
      </c>
      <c r="R9" s="20">
        <f>IF(LISTES!$G$8="",0,SUMIFS(SAISIE!$L$2:$L$501,SAISIE!$C$2:$C$501,LISTES!$G$8))</f>
        <v/>
      </c>
      <c r="S9" s="20">
        <f>IF(LISTES!$G$9="",0,SUMIFS(SAISIE!$L$2:$L$501,SAISIE!$C$2:$C$501,LISTES!$G$9))</f>
        <v/>
      </c>
      <c r="T9" s="20">
        <f>IF(LISTES!$G$10="",0,SUMIFS(SAISIE!$L$2:$L$501,SAISIE!$C$2:$C$501,LISTES!$G$10))</f>
        <v/>
      </c>
      <c r="U9" s="20">
        <f>IF(LISTES!$G$11="",0,SUMIFS(SAISIE!$L$2:$L$501,SAISIE!$C$2:$C$501,LISTES!$G$11))</f>
        <v/>
      </c>
      <c r="V9" s="28">
        <f>IF(LISTES!$I$2="",0,SUMIFS(SAISIE!$L$2:$L$501,SAISIE!$C$2:$C$501,LISTES!$I$2))</f>
        <v/>
      </c>
      <c r="W9" s="28">
        <f>IF(LISTES!$I$3="",0,SUMIFS(SAISIE!$L$2:$L$501,SAISIE!$C$2:$C$501,LISTES!$I$3))</f>
        <v/>
      </c>
      <c r="X9" s="28">
        <f>IF(LISTES!$I$4="",0,SUMIFS(SAISIE!$L$2:$L$501,SAISIE!$C$2:$C$501,LISTES!$I$4))</f>
        <v/>
      </c>
      <c r="Y9" s="28">
        <f>IF(LISTES!$I$5="",0,SUMIFS(SAISIE!$L$2:$L$501,SAISIE!$C$2:$C$501,LISTES!$I$5))</f>
        <v/>
      </c>
      <c r="Z9" s="28">
        <f>IF(LISTES!$I$6="",0,SUMIFS(SAISIE!$L$2:$L$501,SAISIE!$C$2:$C$501,LISTES!$I$6))</f>
        <v/>
      </c>
      <c r="AA9" s="28">
        <f>IF(LISTES!$I$7="",0,SUMIFS(SAISIE!$L$2:$L$501,SAISIE!$C$2:$C$501,LISTES!$I$7))</f>
        <v/>
      </c>
      <c r="AB9" s="28">
        <f>IF(LISTES!$I$8="",0,SUMIFS(SAISIE!$L$2:$L$501,SAISIE!$C$2:$C$501,LISTES!$I$8))</f>
        <v/>
      </c>
      <c r="AC9" s="28">
        <f>IF(LISTES!$I$9="",0,SUMIFS(SAISIE!$L$2:$L$501,SAISIE!$C$2:$C$501,LISTES!$I$9))</f>
        <v/>
      </c>
      <c r="AD9" s="28">
        <f>IF(LISTES!$I$10="",0,SUMIFS(SAISIE!$L$2:$L$501,SAISIE!$C$2:$C$501,LISTES!$I$10))</f>
        <v/>
      </c>
      <c r="AE9" s="28">
        <f>IF(LISTES!$I$11="",0,SUMIFS(SAISIE!$L$2:$L$501,SAISIE!$C$2:$C$501,LISTES!$I$11))</f>
        <v/>
      </c>
    </row>
    <row r="10" hidden="1" ht="15" customHeight="1">
      <c r="A10" s="8">
        <f>LISTES!$A$10</f>
        <v/>
      </c>
      <c r="B10" s="12">
        <f>IF(LISTES!$E$2="",0,SUMIFS(SAISIE!$M$2:$M$501,SAISIE!$C$2:$C$501,LISTES!$E$2))</f>
        <v/>
      </c>
      <c r="C10" s="12">
        <f>IF(LISTES!$E$3="",0,SUMIFS(SAISIE!$M$2:$M$501,SAISIE!$C$2:$C$501,LISTES!$E$3))</f>
        <v/>
      </c>
      <c r="D10" s="12">
        <f>IF(LISTES!$E$4="",0,SUMIFS(SAISIE!$M$2:$M$501,SAISIE!$C$2:$C$501,LISTES!$E$4))</f>
        <v/>
      </c>
      <c r="E10" s="12">
        <f>IF(LISTES!$E$5="",0,SUMIFS(SAISIE!$M$2:$M$501,SAISIE!$C$2:$C$501,LISTES!$E$5))</f>
        <v/>
      </c>
      <c r="F10" s="12">
        <f>IF(LISTES!$E$6="",0,SUMIFS(SAISIE!$M$2:$M$501,SAISIE!$C$2:$C$501,LISTES!$E$6))</f>
        <v/>
      </c>
      <c r="G10" s="12">
        <f>IF(LISTES!$E$7="",0,SUMIFS(SAISIE!$M$2:$M$501,SAISIE!$C$2:$C$501,LISTES!$E$7))</f>
        <v/>
      </c>
      <c r="H10" s="12">
        <f>IF(LISTES!$E$8="",0,SUMIFS(SAISIE!$M$2:$M$501,SAISIE!$C$2:$C$501,LISTES!$E$8))</f>
        <v/>
      </c>
      <c r="I10" s="12">
        <f>IF(LISTES!$E$9="",0,SUMIFS(SAISIE!$M$2:$M$501,SAISIE!$C$2:$C$501,LISTES!$E$9))</f>
        <v/>
      </c>
      <c r="J10" s="12">
        <f>IF(LISTES!$E$10="",0,SUMIFS(SAISIE!$M$2:$M$501,SAISIE!$C$2:$C$501,LISTES!$E$10))</f>
        <v/>
      </c>
      <c r="K10" s="12">
        <f>IF(LISTES!$E$11="",0,SUMIFS(SAISIE!$M$2:$M$501,SAISIE!$C$2:$C$501,LISTES!$E$11))</f>
        <v/>
      </c>
      <c r="L10" s="20">
        <f>IF(LISTES!$G$2="",0,SUMIFS(SAISIE!$M$2:$M$501,SAISIE!$C$2:$C$501,LISTES!$G$2))</f>
        <v/>
      </c>
      <c r="M10" s="20">
        <f>IF(LISTES!$G$3="",0,SUMIFS(SAISIE!$M$2:$M$501,SAISIE!$C$2:$C$501,LISTES!$G$3))</f>
        <v/>
      </c>
      <c r="N10" s="20">
        <f>IF(LISTES!$G$4="",0,SUMIFS(SAISIE!$M$2:$M$501,SAISIE!$C$2:$C$501,LISTES!$G$4))</f>
        <v/>
      </c>
      <c r="O10" s="20">
        <f>IF(LISTES!$G$5="",0,SUMIFS(SAISIE!$M$2:$M$501,SAISIE!$C$2:$C$501,LISTES!$G$5))</f>
        <v/>
      </c>
      <c r="P10" s="20">
        <f>IF(LISTES!$G$6="",0,SUMIFS(SAISIE!$M$2:$M$501,SAISIE!$C$2:$C$501,LISTES!$G$6))</f>
        <v/>
      </c>
      <c r="Q10" s="20">
        <f>IF(LISTES!$G$7="",0,SUMIFS(SAISIE!$M$2:$M$501,SAISIE!$C$2:$C$501,LISTES!$G$7))</f>
        <v/>
      </c>
      <c r="R10" s="20">
        <f>IF(LISTES!$G$8="",0,SUMIFS(SAISIE!$M$2:$M$501,SAISIE!$C$2:$C$501,LISTES!$G$8))</f>
        <v/>
      </c>
      <c r="S10" s="20">
        <f>IF(LISTES!$G$9="",0,SUMIFS(SAISIE!$M$2:$M$501,SAISIE!$C$2:$C$501,LISTES!$G$9))</f>
        <v/>
      </c>
      <c r="T10" s="20">
        <f>IF(LISTES!$G$10="",0,SUMIFS(SAISIE!$M$2:$M$501,SAISIE!$C$2:$C$501,LISTES!$G$10))</f>
        <v/>
      </c>
      <c r="U10" s="20">
        <f>IF(LISTES!$G$11="",0,SUMIFS(SAISIE!$M$2:$M$501,SAISIE!$C$2:$C$501,LISTES!$G$11))</f>
        <v/>
      </c>
      <c r="V10" s="28">
        <f>IF(LISTES!$I$2="",0,SUMIFS(SAISIE!$M$2:$M$501,SAISIE!$C$2:$C$501,LISTES!$I$2))</f>
        <v/>
      </c>
      <c r="W10" s="28">
        <f>IF(LISTES!$I$3="",0,SUMIFS(SAISIE!$M$2:$M$501,SAISIE!$C$2:$C$501,LISTES!$I$3))</f>
        <v/>
      </c>
      <c r="X10" s="28">
        <f>IF(LISTES!$I$4="",0,SUMIFS(SAISIE!$M$2:$M$501,SAISIE!$C$2:$C$501,LISTES!$I$4))</f>
        <v/>
      </c>
      <c r="Y10" s="28">
        <f>IF(LISTES!$I$5="",0,SUMIFS(SAISIE!$M$2:$M$501,SAISIE!$C$2:$C$501,LISTES!$I$5))</f>
        <v/>
      </c>
      <c r="Z10" s="28">
        <f>IF(LISTES!$I$6="",0,SUMIFS(SAISIE!$M$2:$M$501,SAISIE!$C$2:$C$501,LISTES!$I$6))</f>
        <v/>
      </c>
      <c r="AA10" s="28">
        <f>IF(LISTES!$I$7="",0,SUMIFS(SAISIE!$M$2:$M$501,SAISIE!$C$2:$C$501,LISTES!$I$7))</f>
        <v/>
      </c>
      <c r="AB10" s="28">
        <f>IF(LISTES!$I$8="",0,SUMIFS(SAISIE!$M$2:$M$501,SAISIE!$C$2:$C$501,LISTES!$I$8))</f>
        <v/>
      </c>
      <c r="AC10" s="28">
        <f>IF(LISTES!$I$9="",0,SUMIFS(SAISIE!$M$2:$M$501,SAISIE!$C$2:$C$501,LISTES!$I$9))</f>
        <v/>
      </c>
      <c r="AD10" s="28">
        <f>IF(LISTES!$I$10="",0,SUMIFS(SAISIE!$M$2:$M$501,SAISIE!$C$2:$C$501,LISTES!$I$10))</f>
        <v/>
      </c>
      <c r="AE10" s="28">
        <f>IF(LISTES!$I$11="",0,SUMIFS(SAISIE!$M$2:$M$501,SAISIE!$C$2:$C$501,LISTES!$I$11))</f>
        <v/>
      </c>
    </row>
    <row r="11" hidden="1" ht="15" customHeight="1">
      <c r="A11" s="8">
        <f>LISTES!$A$11</f>
        <v/>
      </c>
      <c r="B11" s="12">
        <f>IF(LISTES!$E$2="",0,SUMIFS(SAISIE!$N$2:$N$501,SAISIE!$C$2:$C$501,LISTES!$E$2))</f>
        <v/>
      </c>
      <c r="C11" s="12">
        <f>IF(LISTES!$E$3="",0,SUMIFS(SAISIE!$N$2:$N$501,SAISIE!$C$2:$C$501,LISTES!$E$3))</f>
        <v/>
      </c>
      <c r="D11" s="12">
        <f>IF(LISTES!$E$4="",0,SUMIFS(SAISIE!$N$2:$N$501,SAISIE!$C$2:$C$501,LISTES!$E$4))</f>
        <v/>
      </c>
      <c r="E11" s="12">
        <f>IF(LISTES!$E$5="",0,SUMIFS(SAISIE!$N$2:$N$501,SAISIE!$C$2:$C$501,LISTES!$E$5))</f>
        <v/>
      </c>
      <c r="F11" s="12">
        <f>IF(LISTES!$E$6="",0,SUMIFS(SAISIE!$N$2:$N$501,SAISIE!$C$2:$C$501,LISTES!$E$6))</f>
        <v/>
      </c>
      <c r="G11" s="12">
        <f>IF(LISTES!$E$7="",0,SUMIFS(SAISIE!$N$2:$N$501,SAISIE!$C$2:$C$501,LISTES!$E$7))</f>
        <v/>
      </c>
      <c r="H11" s="12">
        <f>IF(LISTES!$E$8="",0,SUMIFS(SAISIE!$N$2:$N$501,SAISIE!$C$2:$C$501,LISTES!$E$8))</f>
        <v/>
      </c>
      <c r="I11" s="12">
        <f>IF(LISTES!$E$9="",0,SUMIFS(SAISIE!$N$2:$N$501,SAISIE!$C$2:$C$501,LISTES!$E$9))</f>
        <v/>
      </c>
      <c r="J11" s="12">
        <f>IF(LISTES!$E$10="",0,SUMIFS(SAISIE!$N$2:$N$501,SAISIE!$C$2:$C$501,LISTES!$E$10))</f>
        <v/>
      </c>
      <c r="K11" s="12">
        <f>IF(LISTES!$E$11="",0,SUMIFS(SAISIE!$N$2:$N$501,SAISIE!$C$2:$C$501,LISTES!$E$11))</f>
        <v/>
      </c>
      <c r="L11" s="20">
        <f>IF(LISTES!$G$2="",0,SUMIFS(SAISIE!$N$2:$N$501,SAISIE!$C$2:$C$501,LISTES!$G$2))</f>
        <v/>
      </c>
      <c r="M11" s="20">
        <f>IF(LISTES!$G$3="",0,SUMIFS(SAISIE!$N$2:$N$501,SAISIE!$C$2:$C$501,LISTES!$G$3))</f>
        <v/>
      </c>
      <c r="N11" s="20">
        <f>IF(LISTES!$G$4="",0,SUMIFS(SAISIE!$N$2:$N$501,SAISIE!$C$2:$C$501,LISTES!$G$4))</f>
        <v/>
      </c>
      <c r="O11" s="20">
        <f>IF(LISTES!$G$5="",0,SUMIFS(SAISIE!$N$2:$N$501,SAISIE!$C$2:$C$501,LISTES!$G$5))</f>
        <v/>
      </c>
      <c r="P11" s="20">
        <f>IF(LISTES!$G$6="",0,SUMIFS(SAISIE!$N$2:$N$501,SAISIE!$C$2:$C$501,LISTES!$G$6))</f>
        <v/>
      </c>
      <c r="Q11" s="20">
        <f>IF(LISTES!$G$7="",0,SUMIFS(SAISIE!$N$2:$N$501,SAISIE!$C$2:$C$501,LISTES!$G$7))</f>
        <v/>
      </c>
      <c r="R11" s="20">
        <f>IF(LISTES!$G$8="",0,SUMIFS(SAISIE!$N$2:$N$501,SAISIE!$C$2:$C$501,LISTES!$G$8))</f>
        <v/>
      </c>
      <c r="S11" s="20">
        <f>IF(LISTES!$G$9="",0,SUMIFS(SAISIE!$N$2:$N$501,SAISIE!$C$2:$C$501,LISTES!$G$9))</f>
        <v/>
      </c>
      <c r="T11" s="20">
        <f>IF(LISTES!$G$10="",0,SUMIFS(SAISIE!$N$2:$N$501,SAISIE!$C$2:$C$501,LISTES!$G$10))</f>
        <v/>
      </c>
      <c r="U11" s="20">
        <f>IF(LISTES!$G$11="",0,SUMIFS(SAISIE!$N$2:$N$501,SAISIE!$C$2:$C$501,LISTES!$G$11))</f>
        <v/>
      </c>
      <c r="V11" s="28">
        <f>IF(LISTES!$I$2="",0,SUMIFS(SAISIE!$N$2:$N$501,SAISIE!$C$2:$C$501,LISTES!$I$2))</f>
        <v/>
      </c>
      <c r="W11" s="28">
        <f>IF(LISTES!$I$3="",0,SUMIFS(SAISIE!$N$2:$N$501,SAISIE!$C$2:$C$501,LISTES!$I$3))</f>
        <v/>
      </c>
      <c r="X11" s="28">
        <f>IF(LISTES!$I$4="",0,SUMIFS(SAISIE!$N$2:$N$501,SAISIE!$C$2:$C$501,LISTES!$I$4))</f>
        <v/>
      </c>
      <c r="Y11" s="28">
        <f>IF(LISTES!$I$5="",0,SUMIFS(SAISIE!$N$2:$N$501,SAISIE!$C$2:$C$501,LISTES!$I$5))</f>
        <v/>
      </c>
      <c r="Z11" s="28">
        <f>IF(LISTES!$I$6="",0,SUMIFS(SAISIE!$N$2:$N$501,SAISIE!$C$2:$C$501,LISTES!$I$6))</f>
        <v/>
      </c>
      <c r="AA11" s="28">
        <f>IF(LISTES!$I$7="",0,SUMIFS(SAISIE!$N$2:$N$501,SAISIE!$C$2:$C$501,LISTES!$I$7))</f>
        <v/>
      </c>
      <c r="AB11" s="28">
        <f>IF(LISTES!$I$8="",0,SUMIFS(SAISIE!$N$2:$N$501,SAISIE!$C$2:$C$501,LISTES!$I$8))</f>
        <v/>
      </c>
      <c r="AC11" s="28">
        <f>IF(LISTES!$I$9="",0,SUMIFS(SAISIE!$N$2:$N$501,SAISIE!$C$2:$C$501,LISTES!$I$9))</f>
        <v/>
      </c>
      <c r="AD11" s="28">
        <f>IF(LISTES!$I$10="",0,SUMIFS(SAISIE!$N$2:$N$501,SAISIE!$C$2:$C$501,LISTES!$I$10))</f>
        <v/>
      </c>
      <c r="AE11" s="28">
        <f>IF(LISTES!$I$11="",0,SUMIFS(SAISIE!$N$2:$N$501,SAISIE!$C$2:$C$501,LISTES!$I$11))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hidden="1" width="8" customWidth="1" min="9" max="9"/>
    <col hidden="1" width="8" customWidth="1" min="10" max="10"/>
    <col hidden="1" width="8" customWidth="1" min="11" max="11"/>
    <col hidden="1" width="8" customWidth="1" min="12" max="12"/>
    <col width="12" customWidth="1" min="13" max="13"/>
    <col width="12" customWidth="1" min="14" max="14"/>
    <col width="8" customWidth="1" min="15" max="15"/>
  </cols>
  <sheetData>
    <row r="1" ht="28" customHeight="1">
      <c r="A1" s="44" t="inlineStr">
        <is>
          <t>SUIVI DOSIMÉTRIE — SYNTHÈSE MISSION</t>
        </is>
      </c>
    </row>
    <row r="3" ht="18" customHeight="1">
      <c r="A3" s="38" t="inlineStr">
        <is>
          <t>Dose totale (mSv)</t>
        </is>
      </c>
      <c r="B3" s="45" t="n"/>
      <c r="C3" s="38" t="inlineStr">
        <is>
          <t>Intervenants actifs</t>
        </is>
      </c>
      <c r="D3" s="45" t="n"/>
      <c r="E3" s="38" t="inlineStr">
        <is>
          <t>RTR actifs</t>
        </is>
      </c>
      <c r="F3" s="45" t="n"/>
      <c r="G3" s="38" t="inlineStr">
        <is>
          <t>Dernière saisie</t>
        </is>
      </c>
      <c r="H3" s="45" t="n"/>
    </row>
    <row r="4" ht="20" customHeight="1">
      <c r="A4" s="46">
        <f>SUM(SAISIE!E2:N501)</f>
        <v/>
      </c>
      <c r="B4" s="45" t="n"/>
      <c r="C4" s="47">
        <f>SUMPRODUCT(--(LISTES!$A$2:$A$11&lt;&gt;""))</f>
        <v/>
      </c>
      <c r="D4" s="45" t="n"/>
      <c r="E4" s="47">
        <f>SUMPRODUCT(--(LISTES!$M$2:$M$31&lt;&gt;""))</f>
        <v/>
      </c>
      <c r="F4" s="45" t="n"/>
      <c r="G4" s="48">
        <f>IF(MAX(SAISIE!A2:A501)=0,"",MAX(SAISIE!A2:A501))</f>
        <v/>
      </c>
      <c r="H4" s="45" t="n"/>
    </row>
    <row r="7" ht="16" customHeight="1">
      <c r="A7" s="38" t="inlineStr">
        <is>
          <t>RTR</t>
        </is>
      </c>
      <c r="B7" s="38" t="inlineStr">
        <is>
          <t>Prévu (mSv)</t>
        </is>
      </c>
      <c r="C7" s="38">
        <f>LISTES!$A$2</f>
        <v/>
      </c>
      <c r="D7" s="38">
        <f>LISTES!$A$3</f>
        <v/>
      </c>
      <c r="E7" s="38">
        <f>LISTES!$A$4</f>
        <v/>
      </c>
      <c r="F7" s="38">
        <f>LISTES!$A$5</f>
        <v/>
      </c>
      <c r="G7" s="38">
        <f>LISTES!$A$6</f>
        <v/>
      </c>
      <c r="H7" s="38">
        <f>LISTES!$A$7</f>
        <v/>
      </c>
      <c r="I7" s="38">
        <f>LISTES!$A$8</f>
        <v/>
      </c>
      <c r="J7" s="38">
        <f>LISTES!$A$9</f>
        <v/>
      </c>
      <c r="K7" s="38">
        <f>LISTES!$A$10</f>
        <v/>
      </c>
      <c r="L7" s="38">
        <f>LISTES!$A$11</f>
        <v/>
      </c>
      <c r="M7" s="38" t="inlineStr">
        <is>
          <t>Consommé</t>
        </is>
      </c>
      <c r="N7" s="38" t="inlineStr">
        <is>
          <t>Reste (mSv)</t>
        </is>
      </c>
      <c r="O7" s="38" t="inlineStr">
        <is>
          <t>% prévu</t>
        </is>
      </c>
    </row>
    <row r="8" ht="16" customHeight="1">
      <c r="A8" s="41" t="inlineStr">
        <is>
          <t>▸  RTR CLASSIQUES</t>
        </is>
      </c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5" t="n"/>
    </row>
    <row r="9" ht="15" customHeight="1">
      <c r="A9" s="11">
        <f>LISTES!$E$2</f>
        <v/>
      </c>
      <c r="B9" s="12">
        <f>SUIVI_RTR!F3</f>
        <v/>
      </c>
      <c r="C9" s="12">
        <f>IF(LISTES!$E$2="",0,SUMIFS(SAISIE!$E$2:$E$501,SAISIE!$C$2:$C$501,LISTES!$E$2))</f>
        <v/>
      </c>
      <c r="D9" s="12">
        <f>IF(LISTES!$E$2="",0,SUMIFS(SAISIE!$F$2:$F$501,SAISIE!$C$2:$C$501,LISTES!$E$2))</f>
        <v/>
      </c>
      <c r="E9" s="12">
        <f>IF(LISTES!$E$2="",0,SUMIFS(SAISIE!$G$2:$G$501,SAISIE!$C$2:$C$501,LISTES!$E$2))</f>
        <v/>
      </c>
      <c r="F9" s="12">
        <f>IF(LISTES!$E$2="",0,SUMIFS(SAISIE!$H$2:$H$501,SAISIE!$C$2:$C$501,LISTES!$E$2))</f>
        <v/>
      </c>
      <c r="G9" s="12">
        <f>IF(LISTES!$E$2="",0,SUMIFS(SAISIE!$I$2:$I$501,SAISIE!$C$2:$C$501,LISTES!$E$2))</f>
        <v/>
      </c>
      <c r="H9" s="12">
        <f>IF(LISTES!$E$2="",0,SUMIFS(SAISIE!$J$2:$J$501,SAISIE!$C$2:$C$501,LISTES!$E$2))</f>
        <v/>
      </c>
      <c r="I9" s="12">
        <f>IF(LISTES!$E$2="",0,SUMIFS(SAISIE!$K$2:$K$501,SAISIE!$C$2:$C$501,LISTES!$E$2))</f>
        <v/>
      </c>
      <c r="J9" s="12">
        <f>IF(LISTES!$E$2="",0,SUMIFS(SAISIE!$L$2:$L$501,SAISIE!$C$2:$C$501,LISTES!$E$2))</f>
        <v/>
      </c>
      <c r="K9" s="12">
        <f>IF(LISTES!$E$2="",0,SUMIFS(SAISIE!$M$2:$M$501,SAISIE!$C$2:$C$501,LISTES!$E$2))</f>
        <v/>
      </c>
      <c r="L9" s="12">
        <f>IF(LISTES!$E$2="",0,SUMIFS(SAISIE!$N$2:$N$501,SAISIE!$C$2:$C$501,LISTES!$E$2))</f>
        <v/>
      </c>
      <c r="M9" s="50">
        <f>SUM(C9:L9)</f>
        <v/>
      </c>
      <c r="N9" s="12">
        <f>IFERROR(IF(B9=0,"",B9-M9),"")</f>
        <v/>
      </c>
      <c r="O9" s="13">
        <f>IFERROR(IF(B9=0,"",M9/B9),"")</f>
        <v/>
      </c>
    </row>
    <row r="10" hidden="1" ht="15" customHeight="1">
      <c r="A10" s="11">
        <f>LISTES!$E$3</f>
        <v/>
      </c>
      <c r="B10" s="12">
        <f>SUIVI_RTR!F4</f>
        <v/>
      </c>
      <c r="C10" s="12">
        <f>IF(LISTES!$E$3="",0,SUMIFS(SAISIE!$E$2:$E$501,SAISIE!$C$2:$C$501,LISTES!$E$3))</f>
        <v/>
      </c>
      <c r="D10" s="12">
        <f>IF(LISTES!$E$3="",0,SUMIFS(SAISIE!$F$2:$F$501,SAISIE!$C$2:$C$501,LISTES!$E$3))</f>
        <v/>
      </c>
      <c r="E10" s="12">
        <f>IF(LISTES!$E$3="",0,SUMIFS(SAISIE!$G$2:$G$501,SAISIE!$C$2:$C$501,LISTES!$E$3))</f>
        <v/>
      </c>
      <c r="F10" s="12">
        <f>IF(LISTES!$E$3="",0,SUMIFS(SAISIE!$H$2:$H$501,SAISIE!$C$2:$C$501,LISTES!$E$3))</f>
        <v/>
      </c>
      <c r="G10" s="12">
        <f>IF(LISTES!$E$3="",0,SUMIFS(SAISIE!$I$2:$I$501,SAISIE!$C$2:$C$501,LISTES!$E$3))</f>
        <v/>
      </c>
      <c r="H10" s="12">
        <f>IF(LISTES!$E$3="",0,SUMIFS(SAISIE!$J$2:$J$501,SAISIE!$C$2:$C$501,LISTES!$E$3))</f>
        <v/>
      </c>
      <c r="I10" s="12">
        <f>IF(LISTES!$E$3="",0,SUMIFS(SAISIE!$K$2:$K$501,SAISIE!$C$2:$C$501,LISTES!$E$3))</f>
        <v/>
      </c>
      <c r="J10" s="12">
        <f>IF(LISTES!$E$3="",0,SUMIFS(SAISIE!$L$2:$L$501,SAISIE!$C$2:$C$501,LISTES!$E$3))</f>
        <v/>
      </c>
      <c r="K10" s="12">
        <f>IF(LISTES!$E$3="",0,SUMIFS(SAISIE!$M$2:$M$501,SAISIE!$C$2:$C$501,LISTES!$E$3))</f>
        <v/>
      </c>
      <c r="L10" s="12">
        <f>IF(LISTES!$E$3="",0,SUMIFS(SAISIE!$N$2:$N$501,SAISIE!$C$2:$C$501,LISTES!$E$3))</f>
        <v/>
      </c>
      <c r="M10" s="50">
        <f>SUM(C10:L10)</f>
        <v/>
      </c>
      <c r="N10" s="12">
        <f>IFERROR(IF(B10=0,"",B10-M10),"")</f>
        <v/>
      </c>
      <c r="O10" s="13">
        <f>IFERROR(IF(B10=0,"",M10/B10),"")</f>
        <v/>
      </c>
    </row>
    <row r="11" hidden="1" ht="15" customHeight="1">
      <c r="A11" s="11">
        <f>LISTES!$E$4</f>
        <v/>
      </c>
      <c r="B11" s="12">
        <f>SUIVI_RTR!F5</f>
        <v/>
      </c>
      <c r="C11" s="12">
        <f>IF(LISTES!$E$4="",0,SUMIFS(SAISIE!$E$2:$E$501,SAISIE!$C$2:$C$501,LISTES!$E$4))</f>
        <v/>
      </c>
      <c r="D11" s="12">
        <f>IF(LISTES!$E$4="",0,SUMIFS(SAISIE!$F$2:$F$501,SAISIE!$C$2:$C$501,LISTES!$E$4))</f>
        <v/>
      </c>
      <c r="E11" s="12">
        <f>IF(LISTES!$E$4="",0,SUMIFS(SAISIE!$G$2:$G$501,SAISIE!$C$2:$C$501,LISTES!$E$4))</f>
        <v/>
      </c>
      <c r="F11" s="12">
        <f>IF(LISTES!$E$4="",0,SUMIFS(SAISIE!$H$2:$H$501,SAISIE!$C$2:$C$501,LISTES!$E$4))</f>
        <v/>
      </c>
      <c r="G11" s="12">
        <f>IF(LISTES!$E$4="",0,SUMIFS(SAISIE!$I$2:$I$501,SAISIE!$C$2:$C$501,LISTES!$E$4))</f>
        <v/>
      </c>
      <c r="H11" s="12">
        <f>IF(LISTES!$E$4="",0,SUMIFS(SAISIE!$J$2:$J$501,SAISIE!$C$2:$C$501,LISTES!$E$4))</f>
        <v/>
      </c>
      <c r="I11" s="12">
        <f>IF(LISTES!$E$4="",0,SUMIFS(SAISIE!$K$2:$K$501,SAISIE!$C$2:$C$501,LISTES!$E$4))</f>
        <v/>
      </c>
      <c r="J11" s="12">
        <f>IF(LISTES!$E$4="",0,SUMIFS(SAISIE!$L$2:$L$501,SAISIE!$C$2:$C$501,LISTES!$E$4))</f>
        <v/>
      </c>
      <c r="K11" s="12">
        <f>IF(LISTES!$E$4="",0,SUMIFS(SAISIE!$M$2:$M$501,SAISIE!$C$2:$C$501,LISTES!$E$4))</f>
        <v/>
      </c>
      <c r="L11" s="12">
        <f>IF(LISTES!$E$4="",0,SUMIFS(SAISIE!$N$2:$N$501,SAISIE!$C$2:$C$501,LISTES!$E$4))</f>
        <v/>
      </c>
      <c r="M11" s="50">
        <f>SUM(C11:L11)</f>
        <v/>
      </c>
      <c r="N11" s="12">
        <f>IFERROR(IF(B11=0,"",B11-M11),"")</f>
        <v/>
      </c>
      <c r="O11" s="13">
        <f>IFERROR(IF(B11=0,"",M11/B11),"")</f>
        <v/>
      </c>
    </row>
    <row r="12" hidden="1" ht="15" customHeight="1">
      <c r="A12" s="11">
        <f>LISTES!$E$5</f>
        <v/>
      </c>
      <c r="B12" s="12">
        <f>SUIVI_RTR!F6</f>
        <v/>
      </c>
      <c r="C12" s="12">
        <f>IF(LISTES!$E$5="",0,SUMIFS(SAISIE!$E$2:$E$501,SAISIE!$C$2:$C$501,LISTES!$E$5))</f>
        <v/>
      </c>
      <c r="D12" s="12">
        <f>IF(LISTES!$E$5="",0,SUMIFS(SAISIE!$F$2:$F$501,SAISIE!$C$2:$C$501,LISTES!$E$5))</f>
        <v/>
      </c>
      <c r="E12" s="12">
        <f>IF(LISTES!$E$5="",0,SUMIFS(SAISIE!$G$2:$G$501,SAISIE!$C$2:$C$501,LISTES!$E$5))</f>
        <v/>
      </c>
      <c r="F12" s="12">
        <f>IF(LISTES!$E$5="",0,SUMIFS(SAISIE!$H$2:$H$501,SAISIE!$C$2:$C$501,LISTES!$E$5))</f>
        <v/>
      </c>
      <c r="G12" s="12">
        <f>IF(LISTES!$E$5="",0,SUMIFS(SAISIE!$I$2:$I$501,SAISIE!$C$2:$C$501,LISTES!$E$5))</f>
        <v/>
      </c>
      <c r="H12" s="12">
        <f>IF(LISTES!$E$5="",0,SUMIFS(SAISIE!$J$2:$J$501,SAISIE!$C$2:$C$501,LISTES!$E$5))</f>
        <v/>
      </c>
      <c r="I12" s="12">
        <f>IF(LISTES!$E$5="",0,SUMIFS(SAISIE!$K$2:$K$501,SAISIE!$C$2:$C$501,LISTES!$E$5))</f>
        <v/>
      </c>
      <c r="J12" s="12">
        <f>IF(LISTES!$E$5="",0,SUMIFS(SAISIE!$L$2:$L$501,SAISIE!$C$2:$C$501,LISTES!$E$5))</f>
        <v/>
      </c>
      <c r="K12" s="12">
        <f>IF(LISTES!$E$5="",0,SUMIFS(SAISIE!$M$2:$M$501,SAISIE!$C$2:$C$501,LISTES!$E$5))</f>
        <v/>
      </c>
      <c r="L12" s="12">
        <f>IF(LISTES!$E$5="",0,SUMIFS(SAISIE!$N$2:$N$501,SAISIE!$C$2:$C$501,LISTES!$E$5))</f>
        <v/>
      </c>
      <c r="M12" s="50">
        <f>SUM(C12:L12)</f>
        <v/>
      </c>
      <c r="N12" s="12">
        <f>IFERROR(IF(B12=0,"",B12-M12),"")</f>
        <v/>
      </c>
      <c r="O12" s="13">
        <f>IFERROR(IF(B12=0,"",M12/B12),"")</f>
        <v/>
      </c>
    </row>
    <row r="13" hidden="1" ht="15" customHeight="1">
      <c r="A13" s="11">
        <f>LISTES!$E$6</f>
        <v/>
      </c>
      <c r="B13" s="12">
        <f>SUIVI_RTR!F7</f>
        <v/>
      </c>
      <c r="C13" s="12">
        <f>IF(LISTES!$E$6="",0,SUMIFS(SAISIE!$E$2:$E$501,SAISIE!$C$2:$C$501,LISTES!$E$6))</f>
        <v/>
      </c>
      <c r="D13" s="12">
        <f>IF(LISTES!$E$6="",0,SUMIFS(SAISIE!$F$2:$F$501,SAISIE!$C$2:$C$501,LISTES!$E$6))</f>
        <v/>
      </c>
      <c r="E13" s="12">
        <f>IF(LISTES!$E$6="",0,SUMIFS(SAISIE!$G$2:$G$501,SAISIE!$C$2:$C$501,LISTES!$E$6))</f>
        <v/>
      </c>
      <c r="F13" s="12">
        <f>IF(LISTES!$E$6="",0,SUMIFS(SAISIE!$H$2:$H$501,SAISIE!$C$2:$C$501,LISTES!$E$6))</f>
        <v/>
      </c>
      <c r="G13" s="12">
        <f>IF(LISTES!$E$6="",0,SUMIFS(SAISIE!$I$2:$I$501,SAISIE!$C$2:$C$501,LISTES!$E$6))</f>
        <v/>
      </c>
      <c r="H13" s="12">
        <f>IF(LISTES!$E$6="",0,SUMIFS(SAISIE!$J$2:$J$501,SAISIE!$C$2:$C$501,LISTES!$E$6))</f>
        <v/>
      </c>
      <c r="I13" s="12">
        <f>IF(LISTES!$E$6="",0,SUMIFS(SAISIE!$K$2:$K$501,SAISIE!$C$2:$C$501,LISTES!$E$6))</f>
        <v/>
      </c>
      <c r="J13" s="12">
        <f>IF(LISTES!$E$6="",0,SUMIFS(SAISIE!$L$2:$L$501,SAISIE!$C$2:$C$501,LISTES!$E$6))</f>
        <v/>
      </c>
      <c r="K13" s="12">
        <f>IF(LISTES!$E$6="",0,SUMIFS(SAISIE!$M$2:$M$501,SAISIE!$C$2:$C$501,LISTES!$E$6))</f>
        <v/>
      </c>
      <c r="L13" s="12">
        <f>IF(LISTES!$E$6="",0,SUMIFS(SAISIE!$N$2:$N$501,SAISIE!$C$2:$C$501,LISTES!$E$6))</f>
        <v/>
      </c>
      <c r="M13" s="50">
        <f>SUM(C13:L13)</f>
        <v/>
      </c>
      <c r="N13" s="12">
        <f>IFERROR(IF(B13=0,"",B13-M13),"")</f>
        <v/>
      </c>
      <c r="O13" s="13">
        <f>IFERROR(IF(B13=0,"",M13/B13),"")</f>
        <v/>
      </c>
    </row>
    <row r="14" hidden="1" ht="15" customHeight="1">
      <c r="A14" s="11">
        <f>LISTES!$E$7</f>
        <v/>
      </c>
      <c r="B14" s="12">
        <f>SUIVI_RTR!F8</f>
        <v/>
      </c>
      <c r="C14" s="12">
        <f>IF(LISTES!$E$7="",0,SUMIFS(SAISIE!$E$2:$E$501,SAISIE!$C$2:$C$501,LISTES!$E$7))</f>
        <v/>
      </c>
      <c r="D14" s="12">
        <f>IF(LISTES!$E$7="",0,SUMIFS(SAISIE!$F$2:$F$501,SAISIE!$C$2:$C$501,LISTES!$E$7))</f>
        <v/>
      </c>
      <c r="E14" s="12">
        <f>IF(LISTES!$E$7="",0,SUMIFS(SAISIE!$G$2:$G$501,SAISIE!$C$2:$C$501,LISTES!$E$7))</f>
        <v/>
      </c>
      <c r="F14" s="12">
        <f>IF(LISTES!$E$7="",0,SUMIFS(SAISIE!$H$2:$H$501,SAISIE!$C$2:$C$501,LISTES!$E$7))</f>
        <v/>
      </c>
      <c r="G14" s="12">
        <f>IF(LISTES!$E$7="",0,SUMIFS(SAISIE!$I$2:$I$501,SAISIE!$C$2:$C$501,LISTES!$E$7))</f>
        <v/>
      </c>
      <c r="H14" s="12">
        <f>IF(LISTES!$E$7="",0,SUMIFS(SAISIE!$J$2:$J$501,SAISIE!$C$2:$C$501,LISTES!$E$7))</f>
        <v/>
      </c>
      <c r="I14" s="12">
        <f>IF(LISTES!$E$7="",0,SUMIFS(SAISIE!$K$2:$K$501,SAISIE!$C$2:$C$501,LISTES!$E$7))</f>
        <v/>
      </c>
      <c r="J14" s="12">
        <f>IF(LISTES!$E$7="",0,SUMIFS(SAISIE!$L$2:$L$501,SAISIE!$C$2:$C$501,LISTES!$E$7))</f>
        <v/>
      </c>
      <c r="K14" s="12">
        <f>IF(LISTES!$E$7="",0,SUMIFS(SAISIE!$M$2:$M$501,SAISIE!$C$2:$C$501,LISTES!$E$7))</f>
        <v/>
      </c>
      <c r="L14" s="12">
        <f>IF(LISTES!$E$7="",0,SUMIFS(SAISIE!$N$2:$N$501,SAISIE!$C$2:$C$501,LISTES!$E$7))</f>
        <v/>
      </c>
      <c r="M14" s="50">
        <f>SUM(C14:L14)</f>
        <v/>
      </c>
      <c r="N14" s="12">
        <f>IFERROR(IF(B14=0,"",B14-M14),"")</f>
        <v/>
      </c>
      <c r="O14" s="13">
        <f>IFERROR(IF(B14=0,"",M14/B14),"")</f>
        <v/>
      </c>
    </row>
    <row r="15" hidden="1" ht="15" customHeight="1">
      <c r="A15" s="11">
        <f>LISTES!$E$8</f>
        <v/>
      </c>
      <c r="B15" s="12">
        <f>SUIVI_RTR!F9</f>
        <v/>
      </c>
      <c r="C15" s="12">
        <f>IF(LISTES!$E$8="",0,SUMIFS(SAISIE!$E$2:$E$501,SAISIE!$C$2:$C$501,LISTES!$E$8))</f>
        <v/>
      </c>
      <c r="D15" s="12">
        <f>IF(LISTES!$E$8="",0,SUMIFS(SAISIE!$F$2:$F$501,SAISIE!$C$2:$C$501,LISTES!$E$8))</f>
        <v/>
      </c>
      <c r="E15" s="12">
        <f>IF(LISTES!$E$8="",0,SUMIFS(SAISIE!$G$2:$G$501,SAISIE!$C$2:$C$501,LISTES!$E$8))</f>
        <v/>
      </c>
      <c r="F15" s="12">
        <f>IF(LISTES!$E$8="",0,SUMIFS(SAISIE!$H$2:$H$501,SAISIE!$C$2:$C$501,LISTES!$E$8))</f>
        <v/>
      </c>
      <c r="G15" s="12">
        <f>IF(LISTES!$E$8="",0,SUMIFS(SAISIE!$I$2:$I$501,SAISIE!$C$2:$C$501,LISTES!$E$8))</f>
        <v/>
      </c>
      <c r="H15" s="12">
        <f>IF(LISTES!$E$8="",0,SUMIFS(SAISIE!$J$2:$J$501,SAISIE!$C$2:$C$501,LISTES!$E$8))</f>
        <v/>
      </c>
      <c r="I15" s="12">
        <f>IF(LISTES!$E$8="",0,SUMIFS(SAISIE!$K$2:$K$501,SAISIE!$C$2:$C$501,LISTES!$E$8))</f>
        <v/>
      </c>
      <c r="J15" s="12">
        <f>IF(LISTES!$E$8="",0,SUMIFS(SAISIE!$L$2:$L$501,SAISIE!$C$2:$C$501,LISTES!$E$8))</f>
        <v/>
      </c>
      <c r="K15" s="12">
        <f>IF(LISTES!$E$8="",0,SUMIFS(SAISIE!$M$2:$M$501,SAISIE!$C$2:$C$501,LISTES!$E$8))</f>
        <v/>
      </c>
      <c r="L15" s="12">
        <f>IF(LISTES!$E$8="",0,SUMIFS(SAISIE!$N$2:$N$501,SAISIE!$C$2:$C$501,LISTES!$E$8))</f>
        <v/>
      </c>
      <c r="M15" s="50">
        <f>SUM(C15:L15)</f>
        <v/>
      </c>
      <c r="N15" s="12">
        <f>IFERROR(IF(B15=0,"",B15-M15),"")</f>
        <v/>
      </c>
      <c r="O15" s="13">
        <f>IFERROR(IF(B15=0,"",M15/B15),"")</f>
        <v/>
      </c>
    </row>
    <row r="16" hidden="1" ht="15" customHeight="1">
      <c r="A16" s="11">
        <f>LISTES!$E$9</f>
        <v/>
      </c>
      <c r="B16" s="12">
        <f>SUIVI_RTR!F10</f>
        <v/>
      </c>
      <c r="C16" s="12">
        <f>IF(LISTES!$E$9="",0,SUMIFS(SAISIE!$E$2:$E$501,SAISIE!$C$2:$C$501,LISTES!$E$9))</f>
        <v/>
      </c>
      <c r="D16" s="12">
        <f>IF(LISTES!$E$9="",0,SUMIFS(SAISIE!$F$2:$F$501,SAISIE!$C$2:$C$501,LISTES!$E$9))</f>
        <v/>
      </c>
      <c r="E16" s="12">
        <f>IF(LISTES!$E$9="",0,SUMIFS(SAISIE!$G$2:$G$501,SAISIE!$C$2:$C$501,LISTES!$E$9))</f>
        <v/>
      </c>
      <c r="F16" s="12">
        <f>IF(LISTES!$E$9="",0,SUMIFS(SAISIE!$H$2:$H$501,SAISIE!$C$2:$C$501,LISTES!$E$9))</f>
        <v/>
      </c>
      <c r="G16" s="12">
        <f>IF(LISTES!$E$9="",0,SUMIFS(SAISIE!$I$2:$I$501,SAISIE!$C$2:$C$501,LISTES!$E$9))</f>
        <v/>
      </c>
      <c r="H16" s="12">
        <f>IF(LISTES!$E$9="",0,SUMIFS(SAISIE!$J$2:$J$501,SAISIE!$C$2:$C$501,LISTES!$E$9))</f>
        <v/>
      </c>
      <c r="I16" s="12">
        <f>IF(LISTES!$E$9="",0,SUMIFS(SAISIE!$K$2:$K$501,SAISIE!$C$2:$C$501,LISTES!$E$9))</f>
        <v/>
      </c>
      <c r="J16" s="12">
        <f>IF(LISTES!$E$9="",0,SUMIFS(SAISIE!$L$2:$L$501,SAISIE!$C$2:$C$501,LISTES!$E$9))</f>
        <v/>
      </c>
      <c r="K16" s="12">
        <f>IF(LISTES!$E$9="",0,SUMIFS(SAISIE!$M$2:$M$501,SAISIE!$C$2:$C$501,LISTES!$E$9))</f>
        <v/>
      </c>
      <c r="L16" s="12">
        <f>IF(LISTES!$E$9="",0,SUMIFS(SAISIE!$N$2:$N$501,SAISIE!$C$2:$C$501,LISTES!$E$9))</f>
        <v/>
      </c>
      <c r="M16" s="50">
        <f>SUM(C16:L16)</f>
        <v/>
      </c>
      <c r="N16" s="12">
        <f>IFERROR(IF(B16=0,"",B16-M16),"")</f>
        <v/>
      </c>
      <c r="O16" s="13">
        <f>IFERROR(IF(B16=0,"",M16/B16),"")</f>
        <v/>
      </c>
    </row>
    <row r="17" hidden="1" ht="15" customHeight="1">
      <c r="A17" s="11">
        <f>LISTES!$E$10</f>
        <v/>
      </c>
      <c r="B17" s="12">
        <f>SUIVI_RTR!F11</f>
        <v/>
      </c>
      <c r="C17" s="12">
        <f>IF(LISTES!$E$10="",0,SUMIFS(SAISIE!$E$2:$E$501,SAISIE!$C$2:$C$501,LISTES!$E$10))</f>
        <v/>
      </c>
      <c r="D17" s="12">
        <f>IF(LISTES!$E$10="",0,SUMIFS(SAISIE!$F$2:$F$501,SAISIE!$C$2:$C$501,LISTES!$E$10))</f>
        <v/>
      </c>
      <c r="E17" s="12">
        <f>IF(LISTES!$E$10="",0,SUMIFS(SAISIE!$G$2:$G$501,SAISIE!$C$2:$C$501,LISTES!$E$10))</f>
        <v/>
      </c>
      <c r="F17" s="12">
        <f>IF(LISTES!$E$10="",0,SUMIFS(SAISIE!$H$2:$H$501,SAISIE!$C$2:$C$501,LISTES!$E$10))</f>
        <v/>
      </c>
      <c r="G17" s="12">
        <f>IF(LISTES!$E$10="",0,SUMIFS(SAISIE!$I$2:$I$501,SAISIE!$C$2:$C$501,LISTES!$E$10))</f>
        <v/>
      </c>
      <c r="H17" s="12">
        <f>IF(LISTES!$E$10="",0,SUMIFS(SAISIE!$J$2:$J$501,SAISIE!$C$2:$C$501,LISTES!$E$10))</f>
        <v/>
      </c>
      <c r="I17" s="12">
        <f>IF(LISTES!$E$10="",0,SUMIFS(SAISIE!$K$2:$K$501,SAISIE!$C$2:$C$501,LISTES!$E$10))</f>
        <v/>
      </c>
      <c r="J17" s="12">
        <f>IF(LISTES!$E$10="",0,SUMIFS(SAISIE!$L$2:$L$501,SAISIE!$C$2:$C$501,LISTES!$E$10))</f>
        <v/>
      </c>
      <c r="K17" s="12">
        <f>IF(LISTES!$E$10="",0,SUMIFS(SAISIE!$M$2:$M$501,SAISIE!$C$2:$C$501,LISTES!$E$10))</f>
        <v/>
      </c>
      <c r="L17" s="12">
        <f>IF(LISTES!$E$10="",0,SUMIFS(SAISIE!$N$2:$N$501,SAISIE!$C$2:$C$501,LISTES!$E$10))</f>
        <v/>
      </c>
      <c r="M17" s="50">
        <f>SUM(C17:L17)</f>
        <v/>
      </c>
      <c r="N17" s="12">
        <f>IFERROR(IF(B17=0,"",B17-M17),"")</f>
        <v/>
      </c>
      <c r="O17" s="13">
        <f>IFERROR(IF(B17=0,"",M17/B17),"")</f>
        <v/>
      </c>
    </row>
    <row r="18" hidden="1" ht="15" customHeight="1">
      <c r="A18" s="11">
        <f>LISTES!$E$11</f>
        <v/>
      </c>
      <c r="B18" s="12">
        <f>SUIVI_RTR!F12</f>
        <v/>
      </c>
      <c r="C18" s="12">
        <f>IF(LISTES!$E$11="",0,SUMIFS(SAISIE!$E$2:$E$501,SAISIE!$C$2:$C$501,LISTES!$E$11))</f>
        <v/>
      </c>
      <c r="D18" s="12">
        <f>IF(LISTES!$E$11="",0,SUMIFS(SAISIE!$F$2:$F$501,SAISIE!$C$2:$C$501,LISTES!$E$11))</f>
        <v/>
      </c>
      <c r="E18" s="12">
        <f>IF(LISTES!$E$11="",0,SUMIFS(SAISIE!$G$2:$G$501,SAISIE!$C$2:$C$501,LISTES!$E$11))</f>
        <v/>
      </c>
      <c r="F18" s="12">
        <f>IF(LISTES!$E$11="",0,SUMIFS(SAISIE!$H$2:$H$501,SAISIE!$C$2:$C$501,LISTES!$E$11))</f>
        <v/>
      </c>
      <c r="G18" s="12">
        <f>IF(LISTES!$E$11="",0,SUMIFS(SAISIE!$I$2:$I$501,SAISIE!$C$2:$C$501,LISTES!$E$11))</f>
        <v/>
      </c>
      <c r="H18" s="12">
        <f>IF(LISTES!$E$11="",0,SUMIFS(SAISIE!$J$2:$J$501,SAISIE!$C$2:$C$501,LISTES!$E$11))</f>
        <v/>
      </c>
      <c r="I18" s="12">
        <f>IF(LISTES!$E$11="",0,SUMIFS(SAISIE!$K$2:$K$501,SAISIE!$C$2:$C$501,LISTES!$E$11))</f>
        <v/>
      </c>
      <c r="J18" s="12">
        <f>IF(LISTES!$E$11="",0,SUMIFS(SAISIE!$L$2:$L$501,SAISIE!$C$2:$C$501,LISTES!$E$11))</f>
        <v/>
      </c>
      <c r="K18" s="12">
        <f>IF(LISTES!$E$11="",0,SUMIFS(SAISIE!$M$2:$M$501,SAISIE!$C$2:$C$501,LISTES!$E$11))</f>
        <v/>
      </c>
      <c r="L18" s="12">
        <f>IF(LISTES!$E$11="",0,SUMIFS(SAISIE!$N$2:$N$501,SAISIE!$C$2:$C$501,LISTES!$E$11))</f>
        <v/>
      </c>
      <c r="M18" s="50">
        <f>SUM(C18:L18)</f>
        <v/>
      </c>
      <c r="N18" s="12">
        <f>IFERROR(IF(B18=0,"",B18-M18),"")</f>
        <v/>
      </c>
      <c r="O18" s="13">
        <f>IFERROR(IF(B18=0,"",M18/B18),"")</f>
        <v/>
      </c>
    </row>
    <row r="19" ht="16" customHeight="1">
      <c r="A19" s="14" t="inlineStr">
        <is>
          <t>Sous-total</t>
        </is>
      </c>
      <c r="B19" s="16">
        <f>SUMIF(B9:B18,"&lt;&gt;")</f>
        <v/>
      </c>
      <c r="C19" s="16">
        <f>SUM(C9:C18)</f>
        <v/>
      </c>
      <c r="D19" s="16">
        <f>SUM(D9:D18)</f>
        <v/>
      </c>
      <c r="E19" s="16">
        <f>SUM(E9:E18)</f>
        <v/>
      </c>
      <c r="F19" s="16">
        <f>SUM(F9:F18)</f>
        <v/>
      </c>
      <c r="G19" s="16">
        <f>SUM(G9:G18)</f>
        <v/>
      </c>
      <c r="H19" s="16">
        <f>SUM(H9:H18)</f>
        <v/>
      </c>
      <c r="I19" s="16">
        <f>SUM(I9:I18)</f>
        <v/>
      </c>
      <c r="J19" s="16">
        <f>SUM(J9:J18)</f>
        <v/>
      </c>
      <c r="K19" s="16">
        <f>SUM(K9:K18)</f>
        <v/>
      </c>
      <c r="L19" s="16">
        <f>SUM(L9:L18)</f>
        <v/>
      </c>
      <c r="M19" s="16">
        <f>SUM(M9:M18)</f>
        <v/>
      </c>
      <c r="N19" s="15">
        <f>IFERROR(IF(B19=0,"",B19-M19),"")</f>
        <v/>
      </c>
      <c r="O19" s="17">
        <f>IFERROR(IF(B19=0,"",M19/B19),"")</f>
        <v/>
      </c>
    </row>
    <row r="21" ht="16" customHeight="1">
      <c r="A21" s="42" t="inlineStr">
        <is>
          <t>▸  RTR ZONE ORANGE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5" t="n"/>
    </row>
    <row r="22" ht="15" customHeight="1">
      <c r="A22" s="19">
        <f>LISTES!$G$2</f>
        <v/>
      </c>
      <c r="B22" s="20">
        <f>SUIVI_RTR!F17</f>
        <v/>
      </c>
      <c r="C22" s="20">
        <f>IF(LISTES!$G$2="",0,SUMIFS(SAISIE!$E$2:$E$501,SAISIE!$C$2:$C$501,LISTES!$G$2))</f>
        <v/>
      </c>
      <c r="D22" s="20">
        <f>IF(LISTES!$G$2="",0,SUMIFS(SAISIE!$F$2:$F$501,SAISIE!$C$2:$C$501,LISTES!$G$2))</f>
        <v/>
      </c>
      <c r="E22" s="20">
        <f>IF(LISTES!$G$2="",0,SUMIFS(SAISIE!$G$2:$G$501,SAISIE!$C$2:$C$501,LISTES!$G$2))</f>
        <v/>
      </c>
      <c r="F22" s="20">
        <f>IF(LISTES!$G$2="",0,SUMIFS(SAISIE!$H$2:$H$501,SAISIE!$C$2:$C$501,LISTES!$G$2))</f>
        <v/>
      </c>
      <c r="G22" s="20">
        <f>IF(LISTES!$G$2="",0,SUMIFS(SAISIE!$I$2:$I$501,SAISIE!$C$2:$C$501,LISTES!$G$2))</f>
        <v/>
      </c>
      <c r="H22" s="20">
        <f>IF(LISTES!$G$2="",0,SUMIFS(SAISIE!$J$2:$J$501,SAISIE!$C$2:$C$501,LISTES!$G$2))</f>
        <v/>
      </c>
      <c r="I22" s="20">
        <f>IF(LISTES!$G$2="",0,SUMIFS(SAISIE!$K$2:$K$501,SAISIE!$C$2:$C$501,LISTES!$G$2))</f>
        <v/>
      </c>
      <c r="J22" s="20">
        <f>IF(LISTES!$G$2="",0,SUMIFS(SAISIE!$L$2:$L$501,SAISIE!$C$2:$C$501,LISTES!$G$2))</f>
        <v/>
      </c>
      <c r="K22" s="20">
        <f>IF(LISTES!$G$2="",0,SUMIFS(SAISIE!$M$2:$M$501,SAISIE!$C$2:$C$501,LISTES!$G$2))</f>
        <v/>
      </c>
      <c r="L22" s="20">
        <f>IF(LISTES!$G$2="",0,SUMIFS(SAISIE!$N$2:$N$501,SAISIE!$C$2:$C$501,LISTES!$G$2))</f>
        <v/>
      </c>
      <c r="M22" s="51">
        <f>SUM(C22:L22)</f>
        <v/>
      </c>
      <c r="N22" s="20">
        <f>IFERROR(IF(B22=0,"",B22-M22),"")</f>
        <v/>
      </c>
      <c r="O22" s="21">
        <f>IFERROR(IF(B22=0,"",M22/B22),"")</f>
        <v/>
      </c>
    </row>
    <row r="23" hidden="1" ht="15" customHeight="1">
      <c r="A23" s="19">
        <f>LISTES!$G$3</f>
        <v/>
      </c>
      <c r="B23" s="20">
        <f>SUIVI_RTR!F18</f>
        <v/>
      </c>
      <c r="C23" s="20">
        <f>IF(LISTES!$G$3="",0,SUMIFS(SAISIE!$E$2:$E$501,SAISIE!$C$2:$C$501,LISTES!$G$3))</f>
        <v/>
      </c>
      <c r="D23" s="20">
        <f>IF(LISTES!$G$3="",0,SUMIFS(SAISIE!$F$2:$F$501,SAISIE!$C$2:$C$501,LISTES!$G$3))</f>
        <v/>
      </c>
      <c r="E23" s="20">
        <f>IF(LISTES!$G$3="",0,SUMIFS(SAISIE!$G$2:$G$501,SAISIE!$C$2:$C$501,LISTES!$G$3))</f>
        <v/>
      </c>
      <c r="F23" s="20">
        <f>IF(LISTES!$G$3="",0,SUMIFS(SAISIE!$H$2:$H$501,SAISIE!$C$2:$C$501,LISTES!$G$3))</f>
        <v/>
      </c>
      <c r="G23" s="20">
        <f>IF(LISTES!$G$3="",0,SUMIFS(SAISIE!$I$2:$I$501,SAISIE!$C$2:$C$501,LISTES!$G$3))</f>
        <v/>
      </c>
      <c r="H23" s="20">
        <f>IF(LISTES!$G$3="",0,SUMIFS(SAISIE!$J$2:$J$501,SAISIE!$C$2:$C$501,LISTES!$G$3))</f>
        <v/>
      </c>
      <c r="I23" s="20">
        <f>IF(LISTES!$G$3="",0,SUMIFS(SAISIE!$K$2:$K$501,SAISIE!$C$2:$C$501,LISTES!$G$3))</f>
        <v/>
      </c>
      <c r="J23" s="20">
        <f>IF(LISTES!$G$3="",0,SUMIFS(SAISIE!$L$2:$L$501,SAISIE!$C$2:$C$501,LISTES!$G$3))</f>
        <v/>
      </c>
      <c r="K23" s="20">
        <f>IF(LISTES!$G$3="",0,SUMIFS(SAISIE!$M$2:$M$501,SAISIE!$C$2:$C$501,LISTES!$G$3))</f>
        <v/>
      </c>
      <c r="L23" s="20">
        <f>IF(LISTES!$G$3="",0,SUMIFS(SAISIE!$N$2:$N$501,SAISIE!$C$2:$C$501,LISTES!$G$3))</f>
        <v/>
      </c>
      <c r="M23" s="51">
        <f>SUM(C23:L23)</f>
        <v/>
      </c>
      <c r="N23" s="20">
        <f>IFERROR(IF(B23=0,"",B23-M23),"")</f>
        <v/>
      </c>
      <c r="O23" s="21">
        <f>IFERROR(IF(B23=0,"",M23/B23),"")</f>
        <v/>
      </c>
    </row>
    <row r="24" hidden="1" ht="15" customHeight="1">
      <c r="A24" s="19">
        <f>LISTES!$G$4</f>
        <v/>
      </c>
      <c r="B24" s="20">
        <f>SUIVI_RTR!F19</f>
        <v/>
      </c>
      <c r="C24" s="20">
        <f>IF(LISTES!$G$4="",0,SUMIFS(SAISIE!$E$2:$E$501,SAISIE!$C$2:$C$501,LISTES!$G$4))</f>
        <v/>
      </c>
      <c r="D24" s="20">
        <f>IF(LISTES!$G$4="",0,SUMIFS(SAISIE!$F$2:$F$501,SAISIE!$C$2:$C$501,LISTES!$G$4))</f>
        <v/>
      </c>
      <c r="E24" s="20">
        <f>IF(LISTES!$G$4="",0,SUMIFS(SAISIE!$G$2:$G$501,SAISIE!$C$2:$C$501,LISTES!$G$4))</f>
        <v/>
      </c>
      <c r="F24" s="20">
        <f>IF(LISTES!$G$4="",0,SUMIFS(SAISIE!$H$2:$H$501,SAISIE!$C$2:$C$501,LISTES!$G$4))</f>
        <v/>
      </c>
      <c r="G24" s="20">
        <f>IF(LISTES!$G$4="",0,SUMIFS(SAISIE!$I$2:$I$501,SAISIE!$C$2:$C$501,LISTES!$G$4))</f>
        <v/>
      </c>
      <c r="H24" s="20">
        <f>IF(LISTES!$G$4="",0,SUMIFS(SAISIE!$J$2:$J$501,SAISIE!$C$2:$C$501,LISTES!$G$4))</f>
        <v/>
      </c>
      <c r="I24" s="20">
        <f>IF(LISTES!$G$4="",0,SUMIFS(SAISIE!$K$2:$K$501,SAISIE!$C$2:$C$501,LISTES!$G$4))</f>
        <v/>
      </c>
      <c r="J24" s="20">
        <f>IF(LISTES!$G$4="",0,SUMIFS(SAISIE!$L$2:$L$501,SAISIE!$C$2:$C$501,LISTES!$G$4))</f>
        <v/>
      </c>
      <c r="K24" s="20">
        <f>IF(LISTES!$G$4="",0,SUMIFS(SAISIE!$M$2:$M$501,SAISIE!$C$2:$C$501,LISTES!$G$4))</f>
        <v/>
      </c>
      <c r="L24" s="20">
        <f>IF(LISTES!$G$4="",0,SUMIFS(SAISIE!$N$2:$N$501,SAISIE!$C$2:$C$501,LISTES!$G$4))</f>
        <v/>
      </c>
      <c r="M24" s="51">
        <f>SUM(C24:L24)</f>
        <v/>
      </c>
      <c r="N24" s="20">
        <f>IFERROR(IF(B24=0,"",B24-M24),"")</f>
        <v/>
      </c>
      <c r="O24" s="21">
        <f>IFERROR(IF(B24=0,"",M24/B24),"")</f>
        <v/>
      </c>
    </row>
    <row r="25" hidden="1" ht="15" customHeight="1">
      <c r="A25" s="19">
        <f>LISTES!$G$5</f>
        <v/>
      </c>
      <c r="B25" s="20">
        <f>SUIVI_RTR!F20</f>
        <v/>
      </c>
      <c r="C25" s="20">
        <f>IF(LISTES!$G$5="",0,SUMIFS(SAISIE!$E$2:$E$501,SAISIE!$C$2:$C$501,LISTES!$G$5))</f>
        <v/>
      </c>
      <c r="D25" s="20">
        <f>IF(LISTES!$G$5="",0,SUMIFS(SAISIE!$F$2:$F$501,SAISIE!$C$2:$C$501,LISTES!$G$5))</f>
        <v/>
      </c>
      <c r="E25" s="20">
        <f>IF(LISTES!$G$5="",0,SUMIFS(SAISIE!$G$2:$G$501,SAISIE!$C$2:$C$501,LISTES!$G$5))</f>
        <v/>
      </c>
      <c r="F25" s="20">
        <f>IF(LISTES!$G$5="",0,SUMIFS(SAISIE!$H$2:$H$501,SAISIE!$C$2:$C$501,LISTES!$G$5))</f>
        <v/>
      </c>
      <c r="G25" s="20">
        <f>IF(LISTES!$G$5="",0,SUMIFS(SAISIE!$I$2:$I$501,SAISIE!$C$2:$C$501,LISTES!$G$5))</f>
        <v/>
      </c>
      <c r="H25" s="20">
        <f>IF(LISTES!$G$5="",0,SUMIFS(SAISIE!$J$2:$J$501,SAISIE!$C$2:$C$501,LISTES!$G$5))</f>
        <v/>
      </c>
      <c r="I25" s="20">
        <f>IF(LISTES!$G$5="",0,SUMIFS(SAISIE!$K$2:$K$501,SAISIE!$C$2:$C$501,LISTES!$G$5))</f>
        <v/>
      </c>
      <c r="J25" s="20">
        <f>IF(LISTES!$G$5="",0,SUMIFS(SAISIE!$L$2:$L$501,SAISIE!$C$2:$C$501,LISTES!$G$5))</f>
        <v/>
      </c>
      <c r="K25" s="20">
        <f>IF(LISTES!$G$5="",0,SUMIFS(SAISIE!$M$2:$M$501,SAISIE!$C$2:$C$501,LISTES!$G$5))</f>
        <v/>
      </c>
      <c r="L25" s="20">
        <f>IF(LISTES!$G$5="",0,SUMIFS(SAISIE!$N$2:$N$501,SAISIE!$C$2:$C$501,LISTES!$G$5))</f>
        <v/>
      </c>
      <c r="M25" s="51">
        <f>SUM(C25:L25)</f>
        <v/>
      </c>
      <c r="N25" s="20">
        <f>IFERROR(IF(B25=0,"",B25-M25),"")</f>
        <v/>
      </c>
      <c r="O25" s="21">
        <f>IFERROR(IF(B25=0,"",M25/B25),"")</f>
        <v/>
      </c>
    </row>
    <row r="26" hidden="1" ht="15" customHeight="1">
      <c r="A26" s="19">
        <f>LISTES!$G$6</f>
        <v/>
      </c>
      <c r="B26" s="20">
        <f>SUIVI_RTR!F21</f>
        <v/>
      </c>
      <c r="C26" s="20">
        <f>IF(LISTES!$G$6="",0,SUMIFS(SAISIE!$E$2:$E$501,SAISIE!$C$2:$C$501,LISTES!$G$6))</f>
        <v/>
      </c>
      <c r="D26" s="20">
        <f>IF(LISTES!$G$6="",0,SUMIFS(SAISIE!$F$2:$F$501,SAISIE!$C$2:$C$501,LISTES!$G$6))</f>
        <v/>
      </c>
      <c r="E26" s="20">
        <f>IF(LISTES!$G$6="",0,SUMIFS(SAISIE!$G$2:$G$501,SAISIE!$C$2:$C$501,LISTES!$G$6))</f>
        <v/>
      </c>
      <c r="F26" s="20">
        <f>IF(LISTES!$G$6="",0,SUMIFS(SAISIE!$H$2:$H$501,SAISIE!$C$2:$C$501,LISTES!$G$6))</f>
        <v/>
      </c>
      <c r="G26" s="20">
        <f>IF(LISTES!$G$6="",0,SUMIFS(SAISIE!$I$2:$I$501,SAISIE!$C$2:$C$501,LISTES!$G$6))</f>
        <v/>
      </c>
      <c r="H26" s="20">
        <f>IF(LISTES!$G$6="",0,SUMIFS(SAISIE!$J$2:$J$501,SAISIE!$C$2:$C$501,LISTES!$G$6))</f>
        <v/>
      </c>
      <c r="I26" s="20">
        <f>IF(LISTES!$G$6="",0,SUMIFS(SAISIE!$K$2:$K$501,SAISIE!$C$2:$C$501,LISTES!$G$6))</f>
        <v/>
      </c>
      <c r="J26" s="20">
        <f>IF(LISTES!$G$6="",0,SUMIFS(SAISIE!$L$2:$L$501,SAISIE!$C$2:$C$501,LISTES!$G$6))</f>
        <v/>
      </c>
      <c r="K26" s="20">
        <f>IF(LISTES!$G$6="",0,SUMIFS(SAISIE!$M$2:$M$501,SAISIE!$C$2:$C$501,LISTES!$G$6))</f>
        <v/>
      </c>
      <c r="L26" s="20">
        <f>IF(LISTES!$G$6="",0,SUMIFS(SAISIE!$N$2:$N$501,SAISIE!$C$2:$C$501,LISTES!$G$6))</f>
        <v/>
      </c>
      <c r="M26" s="51">
        <f>SUM(C26:L26)</f>
        <v/>
      </c>
      <c r="N26" s="20">
        <f>IFERROR(IF(B26=0,"",B26-M26),"")</f>
        <v/>
      </c>
      <c r="O26" s="21">
        <f>IFERROR(IF(B26=0,"",M26/B26),"")</f>
        <v/>
      </c>
    </row>
    <row r="27" hidden="1" ht="15" customHeight="1">
      <c r="A27" s="19">
        <f>LISTES!$G$7</f>
        <v/>
      </c>
      <c r="B27" s="20">
        <f>SUIVI_RTR!F22</f>
        <v/>
      </c>
      <c r="C27" s="20">
        <f>IF(LISTES!$G$7="",0,SUMIFS(SAISIE!$E$2:$E$501,SAISIE!$C$2:$C$501,LISTES!$G$7))</f>
        <v/>
      </c>
      <c r="D27" s="20">
        <f>IF(LISTES!$G$7="",0,SUMIFS(SAISIE!$F$2:$F$501,SAISIE!$C$2:$C$501,LISTES!$G$7))</f>
        <v/>
      </c>
      <c r="E27" s="20">
        <f>IF(LISTES!$G$7="",0,SUMIFS(SAISIE!$G$2:$G$501,SAISIE!$C$2:$C$501,LISTES!$G$7))</f>
        <v/>
      </c>
      <c r="F27" s="20">
        <f>IF(LISTES!$G$7="",0,SUMIFS(SAISIE!$H$2:$H$501,SAISIE!$C$2:$C$501,LISTES!$G$7))</f>
        <v/>
      </c>
      <c r="G27" s="20">
        <f>IF(LISTES!$G$7="",0,SUMIFS(SAISIE!$I$2:$I$501,SAISIE!$C$2:$C$501,LISTES!$G$7))</f>
        <v/>
      </c>
      <c r="H27" s="20">
        <f>IF(LISTES!$G$7="",0,SUMIFS(SAISIE!$J$2:$J$501,SAISIE!$C$2:$C$501,LISTES!$G$7))</f>
        <v/>
      </c>
      <c r="I27" s="20">
        <f>IF(LISTES!$G$7="",0,SUMIFS(SAISIE!$K$2:$K$501,SAISIE!$C$2:$C$501,LISTES!$G$7))</f>
        <v/>
      </c>
      <c r="J27" s="20">
        <f>IF(LISTES!$G$7="",0,SUMIFS(SAISIE!$L$2:$L$501,SAISIE!$C$2:$C$501,LISTES!$G$7))</f>
        <v/>
      </c>
      <c r="K27" s="20">
        <f>IF(LISTES!$G$7="",0,SUMIFS(SAISIE!$M$2:$M$501,SAISIE!$C$2:$C$501,LISTES!$G$7))</f>
        <v/>
      </c>
      <c r="L27" s="20">
        <f>IF(LISTES!$G$7="",0,SUMIFS(SAISIE!$N$2:$N$501,SAISIE!$C$2:$C$501,LISTES!$G$7))</f>
        <v/>
      </c>
      <c r="M27" s="51">
        <f>SUM(C27:L27)</f>
        <v/>
      </c>
      <c r="N27" s="20">
        <f>IFERROR(IF(B27=0,"",B27-M27),"")</f>
        <v/>
      </c>
      <c r="O27" s="21">
        <f>IFERROR(IF(B27=0,"",M27/B27),"")</f>
        <v/>
      </c>
    </row>
    <row r="28" hidden="1" ht="15" customHeight="1">
      <c r="A28" s="19">
        <f>LISTES!$G$8</f>
        <v/>
      </c>
      <c r="B28" s="20">
        <f>SUIVI_RTR!F23</f>
        <v/>
      </c>
      <c r="C28" s="20">
        <f>IF(LISTES!$G$8="",0,SUMIFS(SAISIE!$E$2:$E$501,SAISIE!$C$2:$C$501,LISTES!$G$8))</f>
        <v/>
      </c>
      <c r="D28" s="20">
        <f>IF(LISTES!$G$8="",0,SUMIFS(SAISIE!$F$2:$F$501,SAISIE!$C$2:$C$501,LISTES!$G$8))</f>
        <v/>
      </c>
      <c r="E28" s="20">
        <f>IF(LISTES!$G$8="",0,SUMIFS(SAISIE!$G$2:$G$501,SAISIE!$C$2:$C$501,LISTES!$G$8))</f>
        <v/>
      </c>
      <c r="F28" s="20">
        <f>IF(LISTES!$G$8="",0,SUMIFS(SAISIE!$H$2:$H$501,SAISIE!$C$2:$C$501,LISTES!$G$8))</f>
        <v/>
      </c>
      <c r="G28" s="20">
        <f>IF(LISTES!$G$8="",0,SUMIFS(SAISIE!$I$2:$I$501,SAISIE!$C$2:$C$501,LISTES!$G$8))</f>
        <v/>
      </c>
      <c r="H28" s="20">
        <f>IF(LISTES!$G$8="",0,SUMIFS(SAISIE!$J$2:$J$501,SAISIE!$C$2:$C$501,LISTES!$G$8))</f>
        <v/>
      </c>
      <c r="I28" s="20">
        <f>IF(LISTES!$G$8="",0,SUMIFS(SAISIE!$K$2:$K$501,SAISIE!$C$2:$C$501,LISTES!$G$8))</f>
        <v/>
      </c>
      <c r="J28" s="20">
        <f>IF(LISTES!$G$8="",0,SUMIFS(SAISIE!$L$2:$L$501,SAISIE!$C$2:$C$501,LISTES!$G$8))</f>
        <v/>
      </c>
      <c r="K28" s="20">
        <f>IF(LISTES!$G$8="",0,SUMIFS(SAISIE!$M$2:$M$501,SAISIE!$C$2:$C$501,LISTES!$G$8))</f>
        <v/>
      </c>
      <c r="L28" s="20">
        <f>IF(LISTES!$G$8="",0,SUMIFS(SAISIE!$N$2:$N$501,SAISIE!$C$2:$C$501,LISTES!$G$8))</f>
        <v/>
      </c>
      <c r="M28" s="51">
        <f>SUM(C28:L28)</f>
        <v/>
      </c>
      <c r="N28" s="20">
        <f>IFERROR(IF(B28=0,"",B28-M28),"")</f>
        <v/>
      </c>
      <c r="O28" s="21">
        <f>IFERROR(IF(B28=0,"",M28/B28),"")</f>
        <v/>
      </c>
    </row>
    <row r="29" hidden="1" ht="15" customHeight="1">
      <c r="A29" s="19">
        <f>LISTES!$G$9</f>
        <v/>
      </c>
      <c r="B29" s="20">
        <f>SUIVI_RTR!F24</f>
        <v/>
      </c>
      <c r="C29" s="20">
        <f>IF(LISTES!$G$9="",0,SUMIFS(SAISIE!$E$2:$E$501,SAISIE!$C$2:$C$501,LISTES!$G$9))</f>
        <v/>
      </c>
      <c r="D29" s="20">
        <f>IF(LISTES!$G$9="",0,SUMIFS(SAISIE!$F$2:$F$501,SAISIE!$C$2:$C$501,LISTES!$G$9))</f>
        <v/>
      </c>
      <c r="E29" s="20">
        <f>IF(LISTES!$G$9="",0,SUMIFS(SAISIE!$G$2:$G$501,SAISIE!$C$2:$C$501,LISTES!$G$9))</f>
        <v/>
      </c>
      <c r="F29" s="20">
        <f>IF(LISTES!$G$9="",0,SUMIFS(SAISIE!$H$2:$H$501,SAISIE!$C$2:$C$501,LISTES!$G$9))</f>
        <v/>
      </c>
      <c r="G29" s="20">
        <f>IF(LISTES!$G$9="",0,SUMIFS(SAISIE!$I$2:$I$501,SAISIE!$C$2:$C$501,LISTES!$G$9))</f>
        <v/>
      </c>
      <c r="H29" s="20">
        <f>IF(LISTES!$G$9="",0,SUMIFS(SAISIE!$J$2:$J$501,SAISIE!$C$2:$C$501,LISTES!$G$9))</f>
        <v/>
      </c>
      <c r="I29" s="20">
        <f>IF(LISTES!$G$9="",0,SUMIFS(SAISIE!$K$2:$K$501,SAISIE!$C$2:$C$501,LISTES!$G$9))</f>
        <v/>
      </c>
      <c r="J29" s="20">
        <f>IF(LISTES!$G$9="",0,SUMIFS(SAISIE!$L$2:$L$501,SAISIE!$C$2:$C$501,LISTES!$G$9))</f>
        <v/>
      </c>
      <c r="K29" s="20">
        <f>IF(LISTES!$G$9="",0,SUMIFS(SAISIE!$M$2:$M$501,SAISIE!$C$2:$C$501,LISTES!$G$9))</f>
        <v/>
      </c>
      <c r="L29" s="20">
        <f>IF(LISTES!$G$9="",0,SUMIFS(SAISIE!$N$2:$N$501,SAISIE!$C$2:$C$501,LISTES!$G$9))</f>
        <v/>
      </c>
      <c r="M29" s="51">
        <f>SUM(C29:L29)</f>
        <v/>
      </c>
      <c r="N29" s="20">
        <f>IFERROR(IF(B29=0,"",B29-M29),"")</f>
        <v/>
      </c>
      <c r="O29" s="21">
        <f>IFERROR(IF(B29=0,"",M29/B29),"")</f>
        <v/>
      </c>
    </row>
    <row r="30" hidden="1" ht="15" customHeight="1">
      <c r="A30" s="19">
        <f>LISTES!$G$10</f>
        <v/>
      </c>
      <c r="B30" s="20">
        <f>SUIVI_RTR!F25</f>
        <v/>
      </c>
      <c r="C30" s="20">
        <f>IF(LISTES!$G$10="",0,SUMIFS(SAISIE!$E$2:$E$501,SAISIE!$C$2:$C$501,LISTES!$G$10))</f>
        <v/>
      </c>
      <c r="D30" s="20">
        <f>IF(LISTES!$G$10="",0,SUMIFS(SAISIE!$F$2:$F$501,SAISIE!$C$2:$C$501,LISTES!$G$10))</f>
        <v/>
      </c>
      <c r="E30" s="20">
        <f>IF(LISTES!$G$10="",0,SUMIFS(SAISIE!$G$2:$G$501,SAISIE!$C$2:$C$501,LISTES!$G$10))</f>
        <v/>
      </c>
      <c r="F30" s="20">
        <f>IF(LISTES!$G$10="",0,SUMIFS(SAISIE!$H$2:$H$501,SAISIE!$C$2:$C$501,LISTES!$G$10))</f>
        <v/>
      </c>
      <c r="G30" s="20">
        <f>IF(LISTES!$G$10="",0,SUMIFS(SAISIE!$I$2:$I$501,SAISIE!$C$2:$C$501,LISTES!$G$10))</f>
        <v/>
      </c>
      <c r="H30" s="20">
        <f>IF(LISTES!$G$10="",0,SUMIFS(SAISIE!$J$2:$J$501,SAISIE!$C$2:$C$501,LISTES!$G$10))</f>
        <v/>
      </c>
      <c r="I30" s="20">
        <f>IF(LISTES!$G$10="",0,SUMIFS(SAISIE!$K$2:$K$501,SAISIE!$C$2:$C$501,LISTES!$G$10))</f>
        <v/>
      </c>
      <c r="J30" s="20">
        <f>IF(LISTES!$G$10="",0,SUMIFS(SAISIE!$L$2:$L$501,SAISIE!$C$2:$C$501,LISTES!$G$10))</f>
        <v/>
      </c>
      <c r="K30" s="20">
        <f>IF(LISTES!$G$10="",0,SUMIFS(SAISIE!$M$2:$M$501,SAISIE!$C$2:$C$501,LISTES!$G$10))</f>
        <v/>
      </c>
      <c r="L30" s="20">
        <f>IF(LISTES!$G$10="",0,SUMIFS(SAISIE!$N$2:$N$501,SAISIE!$C$2:$C$501,LISTES!$G$10))</f>
        <v/>
      </c>
      <c r="M30" s="51">
        <f>SUM(C30:L30)</f>
        <v/>
      </c>
      <c r="N30" s="20">
        <f>IFERROR(IF(B30=0,"",B30-M30),"")</f>
        <v/>
      </c>
      <c r="O30" s="21">
        <f>IFERROR(IF(B30=0,"",M30/B30),"")</f>
        <v/>
      </c>
    </row>
    <row r="31" hidden="1" ht="15" customHeight="1">
      <c r="A31" s="19">
        <f>LISTES!$G$11</f>
        <v/>
      </c>
      <c r="B31" s="20">
        <f>SUIVI_RTR!F26</f>
        <v/>
      </c>
      <c r="C31" s="20">
        <f>IF(LISTES!$G$11="",0,SUMIFS(SAISIE!$E$2:$E$501,SAISIE!$C$2:$C$501,LISTES!$G$11))</f>
        <v/>
      </c>
      <c r="D31" s="20">
        <f>IF(LISTES!$G$11="",0,SUMIFS(SAISIE!$F$2:$F$501,SAISIE!$C$2:$C$501,LISTES!$G$11))</f>
        <v/>
      </c>
      <c r="E31" s="20">
        <f>IF(LISTES!$G$11="",0,SUMIFS(SAISIE!$G$2:$G$501,SAISIE!$C$2:$C$501,LISTES!$G$11))</f>
        <v/>
      </c>
      <c r="F31" s="20">
        <f>IF(LISTES!$G$11="",0,SUMIFS(SAISIE!$H$2:$H$501,SAISIE!$C$2:$C$501,LISTES!$G$11))</f>
        <v/>
      </c>
      <c r="G31" s="20">
        <f>IF(LISTES!$G$11="",0,SUMIFS(SAISIE!$I$2:$I$501,SAISIE!$C$2:$C$501,LISTES!$G$11))</f>
        <v/>
      </c>
      <c r="H31" s="20">
        <f>IF(LISTES!$G$11="",0,SUMIFS(SAISIE!$J$2:$J$501,SAISIE!$C$2:$C$501,LISTES!$G$11))</f>
        <v/>
      </c>
      <c r="I31" s="20">
        <f>IF(LISTES!$G$11="",0,SUMIFS(SAISIE!$K$2:$K$501,SAISIE!$C$2:$C$501,LISTES!$G$11))</f>
        <v/>
      </c>
      <c r="J31" s="20">
        <f>IF(LISTES!$G$11="",0,SUMIFS(SAISIE!$L$2:$L$501,SAISIE!$C$2:$C$501,LISTES!$G$11))</f>
        <v/>
      </c>
      <c r="K31" s="20">
        <f>IF(LISTES!$G$11="",0,SUMIFS(SAISIE!$M$2:$M$501,SAISIE!$C$2:$C$501,LISTES!$G$11))</f>
        <v/>
      </c>
      <c r="L31" s="20">
        <f>IF(LISTES!$G$11="",0,SUMIFS(SAISIE!$N$2:$N$501,SAISIE!$C$2:$C$501,LISTES!$G$11))</f>
        <v/>
      </c>
      <c r="M31" s="51">
        <f>SUM(C31:L31)</f>
        <v/>
      </c>
      <c r="N31" s="20">
        <f>IFERROR(IF(B31=0,"",B31-M31),"")</f>
        <v/>
      </c>
      <c r="O31" s="21">
        <f>IFERROR(IF(B31=0,"",M31/B31),"")</f>
        <v/>
      </c>
    </row>
    <row r="32" ht="16" customHeight="1">
      <c r="A32" s="22" t="inlineStr">
        <is>
          <t>Sous-total</t>
        </is>
      </c>
      <c r="B32" s="24">
        <f>SUMIF(B22:B31,"&lt;&gt;")</f>
        <v/>
      </c>
      <c r="C32" s="24">
        <f>SUM(C22:C31)</f>
        <v/>
      </c>
      <c r="D32" s="24">
        <f>SUM(D22:D31)</f>
        <v/>
      </c>
      <c r="E32" s="24">
        <f>SUM(E22:E31)</f>
        <v/>
      </c>
      <c r="F32" s="24">
        <f>SUM(F22:F31)</f>
        <v/>
      </c>
      <c r="G32" s="24">
        <f>SUM(G22:G31)</f>
        <v/>
      </c>
      <c r="H32" s="24">
        <f>SUM(H22:H31)</f>
        <v/>
      </c>
      <c r="I32" s="24">
        <f>SUM(I22:I31)</f>
        <v/>
      </c>
      <c r="J32" s="24">
        <f>SUM(J22:J31)</f>
        <v/>
      </c>
      <c r="K32" s="24">
        <f>SUM(K22:K31)</f>
        <v/>
      </c>
      <c r="L32" s="24">
        <f>SUM(L22:L31)</f>
        <v/>
      </c>
      <c r="M32" s="24">
        <f>SUM(M22:M31)</f>
        <v/>
      </c>
      <c r="N32" s="23">
        <f>IFERROR(IF(B32=0,"",B32-M32),"")</f>
        <v/>
      </c>
      <c r="O32" s="25">
        <f>IFERROR(IF(B32=0,"",M32/B32),"")</f>
        <v/>
      </c>
    </row>
    <row r="34" ht="16" customHeight="1">
      <c r="A34" s="43" t="inlineStr">
        <is>
          <t>▸  RTR NEUTRONIQUES</t>
        </is>
      </c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5" t="n"/>
    </row>
    <row r="35" ht="15" customHeight="1">
      <c r="A35" s="27">
        <f>LISTES!$I$2</f>
        <v/>
      </c>
      <c r="B35" s="28">
        <f>SUIVI_RTR!F31</f>
        <v/>
      </c>
      <c r="C35" s="28">
        <f>IF(LISTES!$I$2="",0,SUMIFS(SAISIE!$E$2:$E$501,SAISIE!$C$2:$C$501,LISTES!$I$2))</f>
        <v/>
      </c>
      <c r="D35" s="28">
        <f>IF(LISTES!$I$2="",0,SUMIFS(SAISIE!$F$2:$F$501,SAISIE!$C$2:$C$501,LISTES!$I$2))</f>
        <v/>
      </c>
      <c r="E35" s="28">
        <f>IF(LISTES!$I$2="",0,SUMIFS(SAISIE!$G$2:$G$501,SAISIE!$C$2:$C$501,LISTES!$I$2))</f>
        <v/>
      </c>
      <c r="F35" s="28">
        <f>IF(LISTES!$I$2="",0,SUMIFS(SAISIE!$H$2:$H$501,SAISIE!$C$2:$C$501,LISTES!$I$2))</f>
        <v/>
      </c>
      <c r="G35" s="28">
        <f>IF(LISTES!$I$2="",0,SUMIFS(SAISIE!$I$2:$I$501,SAISIE!$C$2:$C$501,LISTES!$I$2))</f>
        <v/>
      </c>
      <c r="H35" s="28">
        <f>IF(LISTES!$I$2="",0,SUMIFS(SAISIE!$J$2:$J$501,SAISIE!$C$2:$C$501,LISTES!$I$2))</f>
        <v/>
      </c>
      <c r="I35" s="28">
        <f>IF(LISTES!$I$2="",0,SUMIFS(SAISIE!$K$2:$K$501,SAISIE!$C$2:$C$501,LISTES!$I$2))</f>
        <v/>
      </c>
      <c r="J35" s="28">
        <f>IF(LISTES!$I$2="",0,SUMIFS(SAISIE!$L$2:$L$501,SAISIE!$C$2:$C$501,LISTES!$I$2))</f>
        <v/>
      </c>
      <c r="K35" s="28">
        <f>IF(LISTES!$I$2="",0,SUMIFS(SAISIE!$M$2:$M$501,SAISIE!$C$2:$C$501,LISTES!$I$2))</f>
        <v/>
      </c>
      <c r="L35" s="28">
        <f>IF(LISTES!$I$2="",0,SUMIFS(SAISIE!$N$2:$N$501,SAISIE!$C$2:$C$501,LISTES!$I$2))</f>
        <v/>
      </c>
      <c r="M35" s="52">
        <f>SUM(C35:L35)</f>
        <v/>
      </c>
      <c r="N35" s="28">
        <f>IFERROR(IF(B35=0,"",B35-M35),"")</f>
        <v/>
      </c>
      <c r="O35" s="29">
        <f>IFERROR(IF(B35=0,"",M35/B35),"")</f>
        <v/>
      </c>
    </row>
    <row r="36" hidden="1" ht="15" customHeight="1">
      <c r="A36" s="27">
        <f>LISTES!$I$3</f>
        <v/>
      </c>
      <c r="B36" s="28">
        <f>SUIVI_RTR!F32</f>
        <v/>
      </c>
      <c r="C36" s="28">
        <f>IF(LISTES!$I$3="",0,SUMIFS(SAISIE!$E$2:$E$501,SAISIE!$C$2:$C$501,LISTES!$I$3))</f>
        <v/>
      </c>
      <c r="D36" s="28">
        <f>IF(LISTES!$I$3="",0,SUMIFS(SAISIE!$F$2:$F$501,SAISIE!$C$2:$C$501,LISTES!$I$3))</f>
        <v/>
      </c>
      <c r="E36" s="28">
        <f>IF(LISTES!$I$3="",0,SUMIFS(SAISIE!$G$2:$G$501,SAISIE!$C$2:$C$501,LISTES!$I$3))</f>
        <v/>
      </c>
      <c r="F36" s="28">
        <f>IF(LISTES!$I$3="",0,SUMIFS(SAISIE!$H$2:$H$501,SAISIE!$C$2:$C$501,LISTES!$I$3))</f>
        <v/>
      </c>
      <c r="G36" s="28">
        <f>IF(LISTES!$I$3="",0,SUMIFS(SAISIE!$I$2:$I$501,SAISIE!$C$2:$C$501,LISTES!$I$3))</f>
        <v/>
      </c>
      <c r="H36" s="28">
        <f>IF(LISTES!$I$3="",0,SUMIFS(SAISIE!$J$2:$J$501,SAISIE!$C$2:$C$501,LISTES!$I$3))</f>
        <v/>
      </c>
      <c r="I36" s="28">
        <f>IF(LISTES!$I$3="",0,SUMIFS(SAISIE!$K$2:$K$501,SAISIE!$C$2:$C$501,LISTES!$I$3))</f>
        <v/>
      </c>
      <c r="J36" s="28">
        <f>IF(LISTES!$I$3="",0,SUMIFS(SAISIE!$L$2:$L$501,SAISIE!$C$2:$C$501,LISTES!$I$3))</f>
        <v/>
      </c>
      <c r="K36" s="28">
        <f>IF(LISTES!$I$3="",0,SUMIFS(SAISIE!$M$2:$M$501,SAISIE!$C$2:$C$501,LISTES!$I$3))</f>
        <v/>
      </c>
      <c r="L36" s="28">
        <f>IF(LISTES!$I$3="",0,SUMIFS(SAISIE!$N$2:$N$501,SAISIE!$C$2:$C$501,LISTES!$I$3))</f>
        <v/>
      </c>
      <c r="M36" s="52">
        <f>SUM(C36:L36)</f>
        <v/>
      </c>
      <c r="N36" s="28">
        <f>IFERROR(IF(B36=0,"",B36-M36),"")</f>
        <v/>
      </c>
      <c r="O36" s="29">
        <f>IFERROR(IF(B36=0,"",M36/B36),"")</f>
        <v/>
      </c>
    </row>
    <row r="37" hidden="1" ht="15" customHeight="1">
      <c r="A37" s="27">
        <f>LISTES!$I$4</f>
        <v/>
      </c>
      <c r="B37" s="28">
        <f>SUIVI_RTR!F33</f>
        <v/>
      </c>
      <c r="C37" s="28">
        <f>IF(LISTES!$I$4="",0,SUMIFS(SAISIE!$E$2:$E$501,SAISIE!$C$2:$C$501,LISTES!$I$4))</f>
        <v/>
      </c>
      <c r="D37" s="28">
        <f>IF(LISTES!$I$4="",0,SUMIFS(SAISIE!$F$2:$F$501,SAISIE!$C$2:$C$501,LISTES!$I$4))</f>
        <v/>
      </c>
      <c r="E37" s="28">
        <f>IF(LISTES!$I$4="",0,SUMIFS(SAISIE!$G$2:$G$501,SAISIE!$C$2:$C$501,LISTES!$I$4))</f>
        <v/>
      </c>
      <c r="F37" s="28">
        <f>IF(LISTES!$I$4="",0,SUMIFS(SAISIE!$H$2:$H$501,SAISIE!$C$2:$C$501,LISTES!$I$4))</f>
        <v/>
      </c>
      <c r="G37" s="28">
        <f>IF(LISTES!$I$4="",0,SUMIFS(SAISIE!$I$2:$I$501,SAISIE!$C$2:$C$501,LISTES!$I$4))</f>
        <v/>
      </c>
      <c r="H37" s="28">
        <f>IF(LISTES!$I$4="",0,SUMIFS(SAISIE!$J$2:$J$501,SAISIE!$C$2:$C$501,LISTES!$I$4))</f>
        <v/>
      </c>
      <c r="I37" s="28">
        <f>IF(LISTES!$I$4="",0,SUMIFS(SAISIE!$K$2:$K$501,SAISIE!$C$2:$C$501,LISTES!$I$4))</f>
        <v/>
      </c>
      <c r="J37" s="28">
        <f>IF(LISTES!$I$4="",0,SUMIFS(SAISIE!$L$2:$L$501,SAISIE!$C$2:$C$501,LISTES!$I$4))</f>
        <v/>
      </c>
      <c r="K37" s="28">
        <f>IF(LISTES!$I$4="",0,SUMIFS(SAISIE!$M$2:$M$501,SAISIE!$C$2:$C$501,LISTES!$I$4))</f>
        <v/>
      </c>
      <c r="L37" s="28">
        <f>IF(LISTES!$I$4="",0,SUMIFS(SAISIE!$N$2:$N$501,SAISIE!$C$2:$C$501,LISTES!$I$4))</f>
        <v/>
      </c>
      <c r="M37" s="52">
        <f>SUM(C37:L37)</f>
        <v/>
      </c>
      <c r="N37" s="28">
        <f>IFERROR(IF(B37=0,"",B37-M37),"")</f>
        <v/>
      </c>
      <c r="O37" s="29">
        <f>IFERROR(IF(B37=0,"",M37/B37),"")</f>
        <v/>
      </c>
    </row>
    <row r="38" hidden="1" ht="15" customHeight="1">
      <c r="A38" s="27">
        <f>LISTES!$I$5</f>
        <v/>
      </c>
      <c r="B38" s="28">
        <f>SUIVI_RTR!F34</f>
        <v/>
      </c>
      <c r="C38" s="28">
        <f>IF(LISTES!$I$5="",0,SUMIFS(SAISIE!$E$2:$E$501,SAISIE!$C$2:$C$501,LISTES!$I$5))</f>
        <v/>
      </c>
      <c r="D38" s="28">
        <f>IF(LISTES!$I$5="",0,SUMIFS(SAISIE!$F$2:$F$501,SAISIE!$C$2:$C$501,LISTES!$I$5))</f>
        <v/>
      </c>
      <c r="E38" s="28">
        <f>IF(LISTES!$I$5="",0,SUMIFS(SAISIE!$G$2:$G$501,SAISIE!$C$2:$C$501,LISTES!$I$5))</f>
        <v/>
      </c>
      <c r="F38" s="28">
        <f>IF(LISTES!$I$5="",0,SUMIFS(SAISIE!$H$2:$H$501,SAISIE!$C$2:$C$501,LISTES!$I$5))</f>
        <v/>
      </c>
      <c r="G38" s="28">
        <f>IF(LISTES!$I$5="",0,SUMIFS(SAISIE!$I$2:$I$501,SAISIE!$C$2:$C$501,LISTES!$I$5))</f>
        <v/>
      </c>
      <c r="H38" s="28">
        <f>IF(LISTES!$I$5="",0,SUMIFS(SAISIE!$J$2:$J$501,SAISIE!$C$2:$C$501,LISTES!$I$5))</f>
        <v/>
      </c>
      <c r="I38" s="28">
        <f>IF(LISTES!$I$5="",0,SUMIFS(SAISIE!$K$2:$K$501,SAISIE!$C$2:$C$501,LISTES!$I$5))</f>
        <v/>
      </c>
      <c r="J38" s="28">
        <f>IF(LISTES!$I$5="",0,SUMIFS(SAISIE!$L$2:$L$501,SAISIE!$C$2:$C$501,LISTES!$I$5))</f>
        <v/>
      </c>
      <c r="K38" s="28">
        <f>IF(LISTES!$I$5="",0,SUMIFS(SAISIE!$M$2:$M$501,SAISIE!$C$2:$C$501,LISTES!$I$5))</f>
        <v/>
      </c>
      <c r="L38" s="28">
        <f>IF(LISTES!$I$5="",0,SUMIFS(SAISIE!$N$2:$N$501,SAISIE!$C$2:$C$501,LISTES!$I$5))</f>
        <v/>
      </c>
      <c r="M38" s="52">
        <f>SUM(C38:L38)</f>
        <v/>
      </c>
      <c r="N38" s="28">
        <f>IFERROR(IF(B38=0,"",B38-M38),"")</f>
        <v/>
      </c>
      <c r="O38" s="29">
        <f>IFERROR(IF(B38=0,"",M38/B38),"")</f>
        <v/>
      </c>
    </row>
    <row r="39" hidden="1" ht="15" customHeight="1">
      <c r="A39" s="27">
        <f>LISTES!$I$6</f>
        <v/>
      </c>
      <c r="B39" s="28">
        <f>SUIVI_RTR!F35</f>
        <v/>
      </c>
      <c r="C39" s="28">
        <f>IF(LISTES!$I$6="",0,SUMIFS(SAISIE!$E$2:$E$501,SAISIE!$C$2:$C$501,LISTES!$I$6))</f>
        <v/>
      </c>
      <c r="D39" s="28">
        <f>IF(LISTES!$I$6="",0,SUMIFS(SAISIE!$F$2:$F$501,SAISIE!$C$2:$C$501,LISTES!$I$6))</f>
        <v/>
      </c>
      <c r="E39" s="28">
        <f>IF(LISTES!$I$6="",0,SUMIFS(SAISIE!$G$2:$G$501,SAISIE!$C$2:$C$501,LISTES!$I$6))</f>
        <v/>
      </c>
      <c r="F39" s="28">
        <f>IF(LISTES!$I$6="",0,SUMIFS(SAISIE!$H$2:$H$501,SAISIE!$C$2:$C$501,LISTES!$I$6))</f>
        <v/>
      </c>
      <c r="G39" s="28">
        <f>IF(LISTES!$I$6="",0,SUMIFS(SAISIE!$I$2:$I$501,SAISIE!$C$2:$C$501,LISTES!$I$6))</f>
        <v/>
      </c>
      <c r="H39" s="28">
        <f>IF(LISTES!$I$6="",0,SUMIFS(SAISIE!$J$2:$J$501,SAISIE!$C$2:$C$501,LISTES!$I$6))</f>
        <v/>
      </c>
      <c r="I39" s="28">
        <f>IF(LISTES!$I$6="",0,SUMIFS(SAISIE!$K$2:$K$501,SAISIE!$C$2:$C$501,LISTES!$I$6))</f>
        <v/>
      </c>
      <c r="J39" s="28">
        <f>IF(LISTES!$I$6="",0,SUMIFS(SAISIE!$L$2:$L$501,SAISIE!$C$2:$C$501,LISTES!$I$6))</f>
        <v/>
      </c>
      <c r="K39" s="28">
        <f>IF(LISTES!$I$6="",0,SUMIFS(SAISIE!$M$2:$M$501,SAISIE!$C$2:$C$501,LISTES!$I$6))</f>
        <v/>
      </c>
      <c r="L39" s="28">
        <f>IF(LISTES!$I$6="",0,SUMIFS(SAISIE!$N$2:$N$501,SAISIE!$C$2:$C$501,LISTES!$I$6))</f>
        <v/>
      </c>
      <c r="M39" s="52">
        <f>SUM(C39:L39)</f>
        <v/>
      </c>
      <c r="N39" s="28">
        <f>IFERROR(IF(B39=0,"",B39-M39),"")</f>
        <v/>
      </c>
      <c r="O39" s="29">
        <f>IFERROR(IF(B39=0,"",M39/B39),"")</f>
        <v/>
      </c>
    </row>
    <row r="40" hidden="1" ht="15" customHeight="1">
      <c r="A40" s="27">
        <f>LISTES!$I$7</f>
        <v/>
      </c>
      <c r="B40" s="28">
        <f>SUIVI_RTR!F36</f>
        <v/>
      </c>
      <c r="C40" s="28">
        <f>IF(LISTES!$I$7="",0,SUMIFS(SAISIE!$E$2:$E$501,SAISIE!$C$2:$C$501,LISTES!$I$7))</f>
        <v/>
      </c>
      <c r="D40" s="28">
        <f>IF(LISTES!$I$7="",0,SUMIFS(SAISIE!$F$2:$F$501,SAISIE!$C$2:$C$501,LISTES!$I$7))</f>
        <v/>
      </c>
      <c r="E40" s="28">
        <f>IF(LISTES!$I$7="",0,SUMIFS(SAISIE!$G$2:$G$501,SAISIE!$C$2:$C$501,LISTES!$I$7))</f>
        <v/>
      </c>
      <c r="F40" s="28">
        <f>IF(LISTES!$I$7="",0,SUMIFS(SAISIE!$H$2:$H$501,SAISIE!$C$2:$C$501,LISTES!$I$7))</f>
        <v/>
      </c>
      <c r="G40" s="28">
        <f>IF(LISTES!$I$7="",0,SUMIFS(SAISIE!$I$2:$I$501,SAISIE!$C$2:$C$501,LISTES!$I$7))</f>
        <v/>
      </c>
      <c r="H40" s="28">
        <f>IF(LISTES!$I$7="",0,SUMIFS(SAISIE!$J$2:$J$501,SAISIE!$C$2:$C$501,LISTES!$I$7))</f>
        <v/>
      </c>
      <c r="I40" s="28">
        <f>IF(LISTES!$I$7="",0,SUMIFS(SAISIE!$K$2:$K$501,SAISIE!$C$2:$C$501,LISTES!$I$7))</f>
        <v/>
      </c>
      <c r="J40" s="28">
        <f>IF(LISTES!$I$7="",0,SUMIFS(SAISIE!$L$2:$L$501,SAISIE!$C$2:$C$501,LISTES!$I$7))</f>
        <v/>
      </c>
      <c r="K40" s="28">
        <f>IF(LISTES!$I$7="",0,SUMIFS(SAISIE!$M$2:$M$501,SAISIE!$C$2:$C$501,LISTES!$I$7))</f>
        <v/>
      </c>
      <c r="L40" s="28">
        <f>IF(LISTES!$I$7="",0,SUMIFS(SAISIE!$N$2:$N$501,SAISIE!$C$2:$C$501,LISTES!$I$7))</f>
        <v/>
      </c>
      <c r="M40" s="52">
        <f>SUM(C40:L40)</f>
        <v/>
      </c>
      <c r="N40" s="28">
        <f>IFERROR(IF(B40=0,"",B40-M40),"")</f>
        <v/>
      </c>
      <c r="O40" s="29">
        <f>IFERROR(IF(B40=0,"",M40/B40),"")</f>
        <v/>
      </c>
    </row>
    <row r="41" hidden="1" ht="15" customHeight="1">
      <c r="A41" s="27">
        <f>LISTES!$I$8</f>
        <v/>
      </c>
      <c r="B41" s="28">
        <f>SUIVI_RTR!F37</f>
        <v/>
      </c>
      <c r="C41" s="28">
        <f>IF(LISTES!$I$8="",0,SUMIFS(SAISIE!$E$2:$E$501,SAISIE!$C$2:$C$501,LISTES!$I$8))</f>
        <v/>
      </c>
      <c r="D41" s="28">
        <f>IF(LISTES!$I$8="",0,SUMIFS(SAISIE!$F$2:$F$501,SAISIE!$C$2:$C$501,LISTES!$I$8))</f>
        <v/>
      </c>
      <c r="E41" s="28">
        <f>IF(LISTES!$I$8="",0,SUMIFS(SAISIE!$G$2:$G$501,SAISIE!$C$2:$C$501,LISTES!$I$8))</f>
        <v/>
      </c>
      <c r="F41" s="28">
        <f>IF(LISTES!$I$8="",0,SUMIFS(SAISIE!$H$2:$H$501,SAISIE!$C$2:$C$501,LISTES!$I$8))</f>
        <v/>
      </c>
      <c r="G41" s="28">
        <f>IF(LISTES!$I$8="",0,SUMIFS(SAISIE!$I$2:$I$501,SAISIE!$C$2:$C$501,LISTES!$I$8))</f>
        <v/>
      </c>
      <c r="H41" s="28">
        <f>IF(LISTES!$I$8="",0,SUMIFS(SAISIE!$J$2:$J$501,SAISIE!$C$2:$C$501,LISTES!$I$8))</f>
        <v/>
      </c>
      <c r="I41" s="28">
        <f>IF(LISTES!$I$8="",0,SUMIFS(SAISIE!$K$2:$K$501,SAISIE!$C$2:$C$501,LISTES!$I$8))</f>
        <v/>
      </c>
      <c r="J41" s="28">
        <f>IF(LISTES!$I$8="",0,SUMIFS(SAISIE!$L$2:$L$501,SAISIE!$C$2:$C$501,LISTES!$I$8))</f>
        <v/>
      </c>
      <c r="K41" s="28">
        <f>IF(LISTES!$I$8="",0,SUMIFS(SAISIE!$M$2:$M$501,SAISIE!$C$2:$C$501,LISTES!$I$8))</f>
        <v/>
      </c>
      <c r="L41" s="28">
        <f>IF(LISTES!$I$8="",0,SUMIFS(SAISIE!$N$2:$N$501,SAISIE!$C$2:$C$501,LISTES!$I$8))</f>
        <v/>
      </c>
      <c r="M41" s="52">
        <f>SUM(C41:L41)</f>
        <v/>
      </c>
      <c r="N41" s="28">
        <f>IFERROR(IF(B41=0,"",B41-M41),"")</f>
        <v/>
      </c>
      <c r="O41" s="29">
        <f>IFERROR(IF(B41=0,"",M41/B41),"")</f>
        <v/>
      </c>
    </row>
    <row r="42" hidden="1" ht="15" customHeight="1">
      <c r="A42" s="27">
        <f>LISTES!$I$9</f>
        <v/>
      </c>
      <c r="B42" s="28">
        <f>SUIVI_RTR!F38</f>
        <v/>
      </c>
      <c r="C42" s="28">
        <f>IF(LISTES!$I$9="",0,SUMIFS(SAISIE!$E$2:$E$501,SAISIE!$C$2:$C$501,LISTES!$I$9))</f>
        <v/>
      </c>
      <c r="D42" s="28">
        <f>IF(LISTES!$I$9="",0,SUMIFS(SAISIE!$F$2:$F$501,SAISIE!$C$2:$C$501,LISTES!$I$9))</f>
        <v/>
      </c>
      <c r="E42" s="28">
        <f>IF(LISTES!$I$9="",0,SUMIFS(SAISIE!$G$2:$G$501,SAISIE!$C$2:$C$501,LISTES!$I$9))</f>
        <v/>
      </c>
      <c r="F42" s="28">
        <f>IF(LISTES!$I$9="",0,SUMIFS(SAISIE!$H$2:$H$501,SAISIE!$C$2:$C$501,LISTES!$I$9))</f>
        <v/>
      </c>
      <c r="G42" s="28">
        <f>IF(LISTES!$I$9="",0,SUMIFS(SAISIE!$I$2:$I$501,SAISIE!$C$2:$C$501,LISTES!$I$9))</f>
        <v/>
      </c>
      <c r="H42" s="28">
        <f>IF(LISTES!$I$9="",0,SUMIFS(SAISIE!$J$2:$J$501,SAISIE!$C$2:$C$501,LISTES!$I$9))</f>
        <v/>
      </c>
      <c r="I42" s="28">
        <f>IF(LISTES!$I$9="",0,SUMIFS(SAISIE!$K$2:$K$501,SAISIE!$C$2:$C$501,LISTES!$I$9))</f>
        <v/>
      </c>
      <c r="J42" s="28">
        <f>IF(LISTES!$I$9="",0,SUMIFS(SAISIE!$L$2:$L$501,SAISIE!$C$2:$C$501,LISTES!$I$9))</f>
        <v/>
      </c>
      <c r="K42" s="28">
        <f>IF(LISTES!$I$9="",0,SUMIFS(SAISIE!$M$2:$M$501,SAISIE!$C$2:$C$501,LISTES!$I$9))</f>
        <v/>
      </c>
      <c r="L42" s="28">
        <f>IF(LISTES!$I$9="",0,SUMIFS(SAISIE!$N$2:$N$501,SAISIE!$C$2:$C$501,LISTES!$I$9))</f>
        <v/>
      </c>
      <c r="M42" s="52">
        <f>SUM(C42:L42)</f>
        <v/>
      </c>
      <c r="N42" s="28">
        <f>IFERROR(IF(B42=0,"",B42-M42),"")</f>
        <v/>
      </c>
      <c r="O42" s="29">
        <f>IFERROR(IF(B42=0,"",M42/B42),"")</f>
        <v/>
      </c>
    </row>
    <row r="43" hidden="1" ht="15" customHeight="1">
      <c r="A43" s="27">
        <f>LISTES!$I$10</f>
        <v/>
      </c>
      <c r="B43" s="28">
        <f>SUIVI_RTR!F39</f>
        <v/>
      </c>
      <c r="C43" s="28">
        <f>IF(LISTES!$I$10="",0,SUMIFS(SAISIE!$E$2:$E$501,SAISIE!$C$2:$C$501,LISTES!$I$10))</f>
        <v/>
      </c>
      <c r="D43" s="28">
        <f>IF(LISTES!$I$10="",0,SUMIFS(SAISIE!$F$2:$F$501,SAISIE!$C$2:$C$501,LISTES!$I$10))</f>
        <v/>
      </c>
      <c r="E43" s="28">
        <f>IF(LISTES!$I$10="",0,SUMIFS(SAISIE!$G$2:$G$501,SAISIE!$C$2:$C$501,LISTES!$I$10))</f>
        <v/>
      </c>
      <c r="F43" s="28">
        <f>IF(LISTES!$I$10="",0,SUMIFS(SAISIE!$H$2:$H$501,SAISIE!$C$2:$C$501,LISTES!$I$10))</f>
        <v/>
      </c>
      <c r="G43" s="28">
        <f>IF(LISTES!$I$10="",0,SUMIFS(SAISIE!$I$2:$I$501,SAISIE!$C$2:$C$501,LISTES!$I$10))</f>
        <v/>
      </c>
      <c r="H43" s="28">
        <f>IF(LISTES!$I$10="",0,SUMIFS(SAISIE!$J$2:$J$501,SAISIE!$C$2:$C$501,LISTES!$I$10))</f>
        <v/>
      </c>
      <c r="I43" s="28">
        <f>IF(LISTES!$I$10="",0,SUMIFS(SAISIE!$K$2:$K$501,SAISIE!$C$2:$C$501,LISTES!$I$10))</f>
        <v/>
      </c>
      <c r="J43" s="28">
        <f>IF(LISTES!$I$10="",0,SUMIFS(SAISIE!$L$2:$L$501,SAISIE!$C$2:$C$501,LISTES!$I$10))</f>
        <v/>
      </c>
      <c r="K43" s="28">
        <f>IF(LISTES!$I$10="",0,SUMIFS(SAISIE!$M$2:$M$501,SAISIE!$C$2:$C$501,LISTES!$I$10))</f>
        <v/>
      </c>
      <c r="L43" s="28">
        <f>IF(LISTES!$I$10="",0,SUMIFS(SAISIE!$N$2:$N$501,SAISIE!$C$2:$C$501,LISTES!$I$10))</f>
        <v/>
      </c>
      <c r="M43" s="52">
        <f>SUM(C43:L43)</f>
        <v/>
      </c>
      <c r="N43" s="28">
        <f>IFERROR(IF(B43=0,"",B43-M43),"")</f>
        <v/>
      </c>
      <c r="O43" s="29">
        <f>IFERROR(IF(B43=0,"",M43/B43),"")</f>
        <v/>
      </c>
    </row>
    <row r="44" hidden="1" ht="15" customHeight="1">
      <c r="A44" s="27">
        <f>LISTES!$I$11</f>
        <v/>
      </c>
      <c r="B44" s="28">
        <f>SUIVI_RTR!F40</f>
        <v/>
      </c>
      <c r="C44" s="28">
        <f>IF(LISTES!$I$11="",0,SUMIFS(SAISIE!$E$2:$E$501,SAISIE!$C$2:$C$501,LISTES!$I$11))</f>
        <v/>
      </c>
      <c r="D44" s="28">
        <f>IF(LISTES!$I$11="",0,SUMIFS(SAISIE!$F$2:$F$501,SAISIE!$C$2:$C$501,LISTES!$I$11))</f>
        <v/>
      </c>
      <c r="E44" s="28">
        <f>IF(LISTES!$I$11="",0,SUMIFS(SAISIE!$G$2:$G$501,SAISIE!$C$2:$C$501,LISTES!$I$11))</f>
        <v/>
      </c>
      <c r="F44" s="28">
        <f>IF(LISTES!$I$11="",0,SUMIFS(SAISIE!$H$2:$H$501,SAISIE!$C$2:$C$501,LISTES!$I$11))</f>
        <v/>
      </c>
      <c r="G44" s="28">
        <f>IF(LISTES!$I$11="",0,SUMIFS(SAISIE!$I$2:$I$501,SAISIE!$C$2:$C$501,LISTES!$I$11))</f>
        <v/>
      </c>
      <c r="H44" s="28">
        <f>IF(LISTES!$I$11="",0,SUMIFS(SAISIE!$J$2:$J$501,SAISIE!$C$2:$C$501,LISTES!$I$11))</f>
        <v/>
      </c>
      <c r="I44" s="28">
        <f>IF(LISTES!$I$11="",0,SUMIFS(SAISIE!$K$2:$K$501,SAISIE!$C$2:$C$501,LISTES!$I$11))</f>
        <v/>
      </c>
      <c r="J44" s="28">
        <f>IF(LISTES!$I$11="",0,SUMIFS(SAISIE!$L$2:$L$501,SAISIE!$C$2:$C$501,LISTES!$I$11))</f>
        <v/>
      </c>
      <c r="K44" s="28">
        <f>IF(LISTES!$I$11="",0,SUMIFS(SAISIE!$M$2:$M$501,SAISIE!$C$2:$C$501,LISTES!$I$11))</f>
        <v/>
      </c>
      <c r="L44" s="28">
        <f>IF(LISTES!$I$11="",0,SUMIFS(SAISIE!$N$2:$N$501,SAISIE!$C$2:$C$501,LISTES!$I$11))</f>
        <v/>
      </c>
      <c r="M44" s="52">
        <f>SUM(C44:L44)</f>
        <v/>
      </c>
      <c r="N44" s="28">
        <f>IFERROR(IF(B44=0,"",B44-M44),"")</f>
        <v/>
      </c>
      <c r="O44" s="29">
        <f>IFERROR(IF(B44=0,"",M44/B44),"")</f>
        <v/>
      </c>
    </row>
    <row r="45" ht="16" customHeight="1">
      <c r="A45" s="30" t="inlineStr">
        <is>
          <t>Sous-total</t>
        </is>
      </c>
      <c r="B45" s="32">
        <f>SUMIF(B35:B44,"&lt;&gt;")</f>
        <v/>
      </c>
      <c r="C45" s="32">
        <f>SUM(C35:C44)</f>
        <v/>
      </c>
      <c r="D45" s="32">
        <f>SUM(D35:D44)</f>
        <v/>
      </c>
      <c r="E45" s="32">
        <f>SUM(E35:E44)</f>
        <v/>
      </c>
      <c r="F45" s="32">
        <f>SUM(F35:F44)</f>
        <v/>
      </c>
      <c r="G45" s="32">
        <f>SUM(G35:G44)</f>
        <v/>
      </c>
      <c r="H45" s="32">
        <f>SUM(H35:H44)</f>
        <v/>
      </c>
      <c r="I45" s="32">
        <f>SUM(I35:I44)</f>
        <v/>
      </c>
      <c r="J45" s="32">
        <f>SUM(J35:J44)</f>
        <v/>
      </c>
      <c r="K45" s="32">
        <f>SUM(K35:K44)</f>
        <v/>
      </c>
      <c r="L45" s="32">
        <f>SUM(L35:L44)</f>
        <v/>
      </c>
      <c r="M45" s="32">
        <f>SUM(M35:M44)</f>
        <v/>
      </c>
      <c r="N45" s="31">
        <f>IFERROR(IF(B45=0,"",B45-M45),"")</f>
        <v/>
      </c>
      <c r="O45" s="33">
        <f>IFERROR(IF(B45=0,"",M45/B45),"")</f>
        <v/>
      </c>
    </row>
    <row r="46" ht="18" customHeight="1">
      <c r="A46" t="inlineStr">
        <is>
          <t>TOTAL GÉNÉRAL</t>
        </is>
      </c>
      <c r="B46" s="35">
        <f>SUM(B19,B32,B45)</f>
        <v/>
      </c>
      <c r="C46" s="35">
        <f>SUM(C19,C32,C45)</f>
        <v/>
      </c>
      <c r="D46" s="35">
        <f>SUM(D19,D32,D45)</f>
        <v/>
      </c>
      <c r="E46" s="35">
        <f>SUM(E19,E32,E45)</f>
        <v/>
      </c>
      <c r="F46" s="35">
        <f>SUM(F19,F32,F45)</f>
        <v/>
      </c>
      <c r="G46" s="35">
        <f>SUM(G19,G32,G45)</f>
        <v/>
      </c>
      <c r="H46" s="35">
        <f>SUM(H19,H32,H45)</f>
        <v/>
      </c>
      <c r="I46" s="35">
        <f>SUM(I19,I32,I45)</f>
        <v/>
      </c>
      <c r="J46" s="35">
        <f>SUM(J19,J32,J45)</f>
        <v/>
      </c>
      <c r="K46" s="35">
        <f>SUM(K19,K32,K45)</f>
        <v/>
      </c>
      <c r="L46" s="35">
        <f>SUM(L19,L32,L45)</f>
        <v/>
      </c>
      <c r="M46" s="35">
        <f>SUM(M19,M32,M45)</f>
        <v/>
      </c>
      <c r="N46" s="1">
        <f>IFERROR(IF(B46=0,"",B46-M46),"")</f>
        <v/>
      </c>
      <c r="O46" s="36">
        <f>IFERROR(IF(B46=0,"",M46/B46),"")</f>
        <v/>
      </c>
    </row>
    <row r="48" ht="22" customHeight="1">
      <c r="A48" s="37" t="inlineStr">
        <is>
          <t>SYNTHÈSE DOSE PAR BÂTIMENT</t>
        </is>
      </c>
    </row>
    <row r="49" ht="32" customHeight="1">
      <c r="A49" s="53" t="inlineStr">
        <is>
          <t>Bâtiment</t>
        </is>
      </c>
      <c r="B49" s="53" t="inlineStr">
        <is>
          <t>Dose Classiques
(mSv)</t>
        </is>
      </c>
      <c r="C49" s="53" t="inlineStr">
        <is>
          <t>Dose Zone Orange
(mSv)</t>
        </is>
      </c>
      <c r="D49" s="53" t="inlineStr">
        <is>
          <t>Dose Neutroniques
(mSv)</t>
        </is>
      </c>
      <c r="E49" s="53" t="inlineStr">
        <is>
          <t>Dose TOTALE
(mSv)</t>
        </is>
      </c>
      <c r="F49" s="53" t="inlineStr">
        <is>
          <t>Passages
(demi-j.)</t>
        </is>
      </c>
      <c r="G49" s="53" t="inlineStr">
        <is>
          <t>Jours-Homme</t>
        </is>
      </c>
      <c r="H49" s="53" t="inlineStr">
        <is>
          <t>Jours
Calendrier</t>
        </is>
      </c>
    </row>
    <row r="50" ht="16" customHeight="1">
      <c r="A50" s="8">
        <f>LISTES!$K$2</f>
        <v/>
      </c>
      <c r="B50" s="12">
        <f>IFERROR(SUMPRODUCT(ISNUMBER(MATCH(SAISIE!$C$2:$C$501,LISTES!$E$2:$E$11,0))*(SAISIE!$D$2:$D$501=LISTES!$K$2),(SAISIE!$E$2:$E$501+SAISIE!$F$2:$F$501+SAISIE!$G$2:$G$501+SAISIE!$H$2:$H$501+SAISIE!$I$2:$I$501+SAISIE!$J$2:$J$501+SAISIE!$K$2:$K$501+SAISIE!$L$2:$L$501+SAISIE!$M$2:$M$501+SAISIE!$N$2:$N$501)),0)</f>
        <v/>
      </c>
      <c r="C50" s="20">
        <f>IFERROR(SUMPRODUCT(ISNUMBER(MATCH(SAISIE!$C$2:$C$501,LISTES!$G$2:$G$11,0))*(SAISIE!$D$2:$D$501=LISTES!$K$2),(SAISIE!$E$2:$E$501+SAISIE!$F$2:$F$501+SAISIE!$G$2:$G$501+SAISIE!$H$2:$H$501+SAISIE!$I$2:$I$501+SAISIE!$J$2:$J$501+SAISIE!$K$2:$K$501+SAISIE!$L$2:$L$501+SAISIE!$M$2:$M$501+SAISIE!$N$2:$N$501)),0)</f>
        <v/>
      </c>
      <c r="D50" s="28">
        <f>IFERROR(SUMPRODUCT(ISNUMBER(MATCH(SAISIE!$C$2:$C$501,LISTES!$I$2:$I$11,0))*(SAISIE!$D$2:$D$501=LISTES!$K$2),(SAISIE!$E$2:$E$501+SAISIE!$F$2:$F$501+SAISIE!$G$2:$G$501+SAISIE!$H$2:$H$501+SAISIE!$I$2:$I$501+SAISIE!$J$2:$J$501+SAISIE!$K$2:$K$501+SAISIE!$L$2:$L$501+SAISIE!$M$2:$M$501+SAISIE!$N$2:$N$501)),0)</f>
        <v/>
      </c>
      <c r="E50" s="54">
        <f>SUM(B50:D50)</f>
        <v/>
      </c>
      <c r="F50" s="39">
        <f>IFERROR(COUNTIFS(SAISIE!$D$2:$D$501,LISTES!$K$2),0)</f>
        <v/>
      </c>
      <c r="G50" s="39">
        <f>IFERROR(SUMPRODUCT((SAISIE!$D$2:$D$501=LISTES!$K$2)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0" s="39">
        <f>IFERROR(SUMPRODUCT((SAISIE!$D$2:$D$501=LISTES!$K$2)/(COUNTIFS(SAISIE!$A$2:$A$501,SAISIE!$A$2:$A$501,SAISIE!$D$2:$D$501,LISTES!$K$2)+((SAISIE!$D$2:$D$501&lt;&gt;LISTES!$K$2)*1E9))),0)</f>
        <v/>
      </c>
    </row>
    <row r="51" ht="16" customHeight="1">
      <c r="A51" s="8">
        <f>LISTES!$K$3</f>
        <v/>
      </c>
      <c r="B51" s="12">
        <f>IFERROR(SUMPRODUCT(ISNUMBER(MATCH(SAISIE!$C$2:$C$501,LISTES!$E$2:$E$11,0))*(SAISIE!$D$2:$D$501=LISTES!$K$3),(SAISIE!$E$2:$E$501+SAISIE!$F$2:$F$501+SAISIE!$G$2:$G$501+SAISIE!$H$2:$H$501+SAISIE!$I$2:$I$501+SAISIE!$J$2:$J$501+SAISIE!$K$2:$K$501+SAISIE!$L$2:$L$501+SAISIE!$M$2:$M$501+SAISIE!$N$2:$N$501)),0)</f>
        <v/>
      </c>
      <c r="C51" s="20">
        <f>IFERROR(SUMPRODUCT(ISNUMBER(MATCH(SAISIE!$C$2:$C$501,LISTES!$G$2:$G$11,0))*(SAISIE!$D$2:$D$501=LISTES!$K$3),(SAISIE!$E$2:$E$501+SAISIE!$F$2:$F$501+SAISIE!$G$2:$G$501+SAISIE!$H$2:$H$501+SAISIE!$I$2:$I$501+SAISIE!$J$2:$J$501+SAISIE!$K$2:$K$501+SAISIE!$L$2:$L$501+SAISIE!$M$2:$M$501+SAISIE!$N$2:$N$501)),0)</f>
        <v/>
      </c>
      <c r="D51" s="28">
        <f>IFERROR(SUMPRODUCT(ISNUMBER(MATCH(SAISIE!$C$2:$C$501,LISTES!$I$2:$I$11,0))*(SAISIE!$D$2:$D$501=LISTES!$K$3),(SAISIE!$E$2:$E$501+SAISIE!$F$2:$F$501+SAISIE!$G$2:$G$501+SAISIE!$H$2:$H$501+SAISIE!$I$2:$I$501+SAISIE!$J$2:$J$501+SAISIE!$K$2:$K$501+SAISIE!$L$2:$L$501+SAISIE!$M$2:$M$501+SAISIE!$N$2:$N$501)),0)</f>
        <v/>
      </c>
      <c r="E51" s="54">
        <f>SUM(B51:D51)</f>
        <v/>
      </c>
      <c r="F51" s="39">
        <f>IFERROR(COUNTIFS(SAISIE!$D$2:$D$501,LISTES!$K$3),0)</f>
        <v/>
      </c>
      <c r="G51" s="39">
        <f>IFERROR(SUMPRODUCT((SAISIE!$D$2:$D$501=LISTES!$K$3)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1" s="39">
        <f>IFERROR(SUMPRODUCT((SAISIE!$D$2:$D$501=LISTES!$K$3)/(COUNTIFS(SAISIE!$A$2:$A$501,SAISIE!$A$2:$A$501,SAISIE!$D$2:$D$501,LISTES!$K$3)+((SAISIE!$D$2:$D$501&lt;&gt;LISTES!$K$3)*1E9))),0)</f>
        <v/>
      </c>
    </row>
    <row r="52" ht="16" customHeight="1">
      <c r="A52" s="8">
        <f>LISTES!$K$4</f>
        <v/>
      </c>
      <c r="B52" s="12">
        <f>IFERROR(SUMPRODUCT(ISNUMBER(MATCH(SAISIE!$C$2:$C$501,LISTES!$E$2:$E$11,0))*(SAISIE!$D$2:$D$501=LISTES!$K$4),(SAISIE!$E$2:$E$501+SAISIE!$F$2:$F$501+SAISIE!$G$2:$G$501+SAISIE!$H$2:$H$501+SAISIE!$I$2:$I$501+SAISIE!$J$2:$J$501+SAISIE!$K$2:$K$501+SAISIE!$L$2:$L$501+SAISIE!$M$2:$M$501+SAISIE!$N$2:$N$501)),0)</f>
        <v/>
      </c>
      <c r="C52" s="20">
        <f>IFERROR(SUMPRODUCT(ISNUMBER(MATCH(SAISIE!$C$2:$C$501,LISTES!$G$2:$G$11,0))*(SAISIE!$D$2:$D$501=LISTES!$K$4),(SAISIE!$E$2:$E$501+SAISIE!$F$2:$F$501+SAISIE!$G$2:$G$501+SAISIE!$H$2:$H$501+SAISIE!$I$2:$I$501+SAISIE!$J$2:$J$501+SAISIE!$K$2:$K$501+SAISIE!$L$2:$L$501+SAISIE!$M$2:$M$501+SAISIE!$N$2:$N$501)),0)</f>
        <v/>
      </c>
      <c r="D52" s="28">
        <f>IFERROR(SUMPRODUCT(ISNUMBER(MATCH(SAISIE!$C$2:$C$501,LISTES!$I$2:$I$11,0))*(SAISIE!$D$2:$D$501=LISTES!$K$4),(SAISIE!$E$2:$E$501+SAISIE!$F$2:$F$501+SAISIE!$G$2:$G$501+SAISIE!$H$2:$H$501+SAISIE!$I$2:$I$501+SAISIE!$J$2:$J$501+SAISIE!$K$2:$K$501+SAISIE!$L$2:$L$501+SAISIE!$M$2:$M$501+SAISIE!$N$2:$N$501)),0)</f>
        <v/>
      </c>
      <c r="E52" s="54">
        <f>SUM(B52:D52)</f>
        <v/>
      </c>
      <c r="F52" s="39">
        <f>IFERROR(COUNTIFS(SAISIE!$D$2:$D$501,LISTES!$K$4),0)</f>
        <v/>
      </c>
      <c r="G52" s="39">
        <f>IFERROR(SUMPRODUCT((SAISIE!$D$2:$D$501=LISTES!$K$4)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2" s="39">
        <f>IFERROR(SUMPRODUCT((SAISIE!$D$2:$D$501=LISTES!$K$4)/(COUNTIFS(SAISIE!$A$2:$A$501,SAISIE!$A$2:$A$501,SAISIE!$D$2:$D$501,LISTES!$K$4)+((SAISIE!$D$2:$D$501&lt;&gt;LISTES!$K$4)*1E9))),0)</f>
        <v/>
      </c>
    </row>
    <row r="53" ht="16" customHeight="1">
      <c r="A53" s="8">
        <f>LISTES!$K$5</f>
        <v/>
      </c>
      <c r="B53" s="12">
        <f>IFERROR(SUMPRODUCT(ISNUMBER(MATCH(SAISIE!$C$2:$C$501,LISTES!$E$2:$E$11,0))*(SAISIE!$D$2:$D$501=LISTES!$K$5),(SAISIE!$E$2:$E$501+SAISIE!$F$2:$F$501+SAISIE!$G$2:$G$501+SAISIE!$H$2:$H$501+SAISIE!$I$2:$I$501+SAISIE!$J$2:$J$501+SAISIE!$K$2:$K$501+SAISIE!$L$2:$L$501+SAISIE!$M$2:$M$501+SAISIE!$N$2:$N$501)),0)</f>
        <v/>
      </c>
      <c r="C53" s="20">
        <f>IFERROR(SUMPRODUCT(ISNUMBER(MATCH(SAISIE!$C$2:$C$501,LISTES!$G$2:$G$11,0))*(SAISIE!$D$2:$D$501=LISTES!$K$5),(SAISIE!$E$2:$E$501+SAISIE!$F$2:$F$501+SAISIE!$G$2:$G$501+SAISIE!$H$2:$H$501+SAISIE!$I$2:$I$501+SAISIE!$J$2:$J$501+SAISIE!$K$2:$K$501+SAISIE!$L$2:$L$501+SAISIE!$M$2:$M$501+SAISIE!$N$2:$N$501)),0)</f>
        <v/>
      </c>
      <c r="D53" s="28">
        <f>IFERROR(SUMPRODUCT(ISNUMBER(MATCH(SAISIE!$C$2:$C$501,LISTES!$I$2:$I$11,0))*(SAISIE!$D$2:$D$501=LISTES!$K$5),(SAISIE!$E$2:$E$501+SAISIE!$F$2:$F$501+SAISIE!$G$2:$G$501+SAISIE!$H$2:$H$501+SAISIE!$I$2:$I$501+SAISIE!$J$2:$J$501+SAISIE!$K$2:$K$501+SAISIE!$L$2:$L$501+SAISIE!$M$2:$M$501+SAISIE!$N$2:$N$501)),0)</f>
        <v/>
      </c>
      <c r="E53" s="54">
        <f>SUM(B53:D53)</f>
        <v/>
      </c>
      <c r="F53" s="39">
        <f>IFERROR(COUNTIFS(SAISIE!$D$2:$D$501,LISTES!$K$5),0)</f>
        <v/>
      </c>
      <c r="G53" s="39">
        <f>IFERROR(SUMPRODUCT((SAISIE!$D$2:$D$501=LISTES!$K$5)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3" s="39">
        <f>IFERROR(SUMPRODUCT((SAISIE!$D$2:$D$501=LISTES!$K$5)/(COUNTIFS(SAISIE!$A$2:$A$501,SAISIE!$A$2:$A$501,SAISIE!$D$2:$D$501,LISTES!$K$5)+((SAISIE!$D$2:$D$501&lt;&gt;LISTES!$K$5)*1E9))),0)</f>
        <v/>
      </c>
    </row>
    <row r="54" ht="16" customHeight="1">
      <c r="A54" s="8">
        <f>LISTES!$K$6</f>
        <v/>
      </c>
      <c r="B54" s="12">
        <f>IFERROR(SUMPRODUCT(ISNUMBER(MATCH(SAISIE!$C$2:$C$501,LISTES!$E$2:$E$11,0))*(SAISIE!$D$2:$D$501=LISTES!$K$6),(SAISIE!$E$2:$E$501+SAISIE!$F$2:$F$501+SAISIE!$G$2:$G$501+SAISIE!$H$2:$H$501+SAISIE!$I$2:$I$501+SAISIE!$J$2:$J$501+SAISIE!$K$2:$K$501+SAISIE!$L$2:$L$501+SAISIE!$M$2:$M$501+SAISIE!$N$2:$N$501)),0)</f>
        <v/>
      </c>
      <c r="C54" s="20">
        <f>IFERROR(SUMPRODUCT(ISNUMBER(MATCH(SAISIE!$C$2:$C$501,LISTES!$G$2:$G$11,0))*(SAISIE!$D$2:$D$501=LISTES!$K$6),(SAISIE!$E$2:$E$501+SAISIE!$F$2:$F$501+SAISIE!$G$2:$G$501+SAISIE!$H$2:$H$501+SAISIE!$I$2:$I$501+SAISIE!$J$2:$J$501+SAISIE!$K$2:$K$501+SAISIE!$L$2:$L$501+SAISIE!$M$2:$M$501+SAISIE!$N$2:$N$501)),0)</f>
        <v/>
      </c>
      <c r="D54" s="28">
        <f>IFERROR(SUMPRODUCT(ISNUMBER(MATCH(SAISIE!$C$2:$C$501,LISTES!$I$2:$I$11,0))*(SAISIE!$D$2:$D$501=LISTES!$K$6),(SAISIE!$E$2:$E$501+SAISIE!$F$2:$F$501+SAISIE!$G$2:$G$501+SAISIE!$H$2:$H$501+SAISIE!$I$2:$I$501+SAISIE!$J$2:$J$501+SAISIE!$K$2:$K$501+SAISIE!$L$2:$L$501+SAISIE!$M$2:$M$501+SAISIE!$N$2:$N$501)),0)</f>
        <v/>
      </c>
      <c r="E54" s="54">
        <f>SUM(B54:D54)</f>
        <v/>
      </c>
      <c r="F54" s="39">
        <f>IFERROR(COUNTIFS(SAISIE!$D$2:$D$501,LISTES!$K$6),0)</f>
        <v/>
      </c>
      <c r="G54" s="39">
        <f>IFERROR(SUMPRODUCT((SAISIE!$D$2:$D$501=LISTES!$K$6)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4" s="39">
        <f>IFERROR(SUMPRODUCT((SAISIE!$D$2:$D$501=LISTES!$K$6)/(COUNTIFS(SAISIE!$A$2:$A$501,SAISIE!$A$2:$A$501,SAISIE!$D$2:$D$501,LISTES!$K$6)+((SAISIE!$D$2:$D$501&lt;&gt;LISTES!$K$6)*1E9))),0)</f>
        <v/>
      </c>
    </row>
    <row r="55" ht="16" customHeight="1">
      <c r="A55" s="8">
        <f>LISTES!$K$7</f>
        <v/>
      </c>
      <c r="B55" s="12">
        <f>IFERROR(SUMPRODUCT(ISNUMBER(MATCH(SAISIE!$C$2:$C$501,LISTES!$E$2:$E$11,0))*(SAISIE!$D$2:$D$501=LISTES!$K$7),(SAISIE!$E$2:$E$501+SAISIE!$F$2:$F$501+SAISIE!$G$2:$G$501+SAISIE!$H$2:$H$501+SAISIE!$I$2:$I$501+SAISIE!$J$2:$J$501+SAISIE!$K$2:$K$501+SAISIE!$L$2:$L$501+SAISIE!$M$2:$M$501+SAISIE!$N$2:$N$501)),0)</f>
        <v/>
      </c>
      <c r="C55" s="20">
        <f>IFERROR(SUMPRODUCT(ISNUMBER(MATCH(SAISIE!$C$2:$C$501,LISTES!$G$2:$G$11,0))*(SAISIE!$D$2:$D$501=LISTES!$K$7),(SAISIE!$E$2:$E$501+SAISIE!$F$2:$F$501+SAISIE!$G$2:$G$501+SAISIE!$H$2:$H$501+SAISIE!$I$2:$I$501+SAISIE!$J$2:$J$501+SAISIE!$K$2:$K$501+SAISIE!$L$2:$L$501+SAISIE!$M$2:$M$501+SAISIE!$N$2:$N$501)),0)</f>
        <v/>
      </c>
      <c r="D55" s="28">
        <f>IFERROR(SUMPRODUCT(ISNUMBER(MATCH(SAISIE!$C$2:$C$501,LISTES!$I$2:$I$11,0))*(SAISIE!$D$2:$D$501=LISTES!$K$7),(SAISIE!$E$2:$E$501+SAISIE!$F$2:$F$501+SAISIE!$G$2:$G$501+SAISIE!$H$2:$H$501+SAISIE!$I$2:$I$501+SAISIE!$J$2:$J$501+SAISIE!$K$2:$K$501+SAISIE!$L$2:$L$501+SAISIE!$M$2:$M$501+SAISIE!$N$2:$N$501)),0)</f>
        <v/>
      </c>
      <c r="E55" s="54">
        <f>SUM(B55:D55)</f>
        <v/>
      </c>
      <c r="F55" s="39">
        <f>IFERROR(COUNTIFS(SAISIE!$D$2:$D$501,LISTES!$K$7),0)</f>
        <v/>
      </c>
      <c r="G55" s="39">
        <f>IFERROR(SUMPRODUCT((SAISIE!$D$2:$D$501=LISTES!$K$7)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5" s="39">
        <f>IFERROR(SUMPRODUCT((SAISIE!$D$2:$D$501=LISTES!$K$7)/(COUNTIFS(SAISIE!$A$2:$A$501,SAISIE!$A$2:$A$501,SAISIE!$D$2:$D$501,LISTES!$K$7)+((SAISIE!$D$2:$D$501&lt;&gt;LISTES!$K$7)*1E9))),0)</f>
        <v/>
      </c>
    </row>
    <row r="56" ht="16" customHeight="1">
      <c r="A56" s="8">
        <f>LISTES!$K$8</f>
        <v/>
      </c>
      <c r="B56" s="12">
        <f>IFERROR(SUMPRODUCT(ISNUMBER(MATCH(SAISIE!$C$2:$C$501,LISTES!$E$2:$E$11,0))*(SAISIE!$D$2:$D$501=LISTES!$K$8),(SAISIE!$E$2:$E$501+SAISIE!$F$2:$F$501+SAISIE!$G$2:$G$501+SAISIE!$H$2:$H$501+SAISIE!$I$2:$I$501+SAISIE!$J$2:$J$501+SAISIE!$K$2:$K$501+SAISIE!$L$2:$L$501+SAISIE!$M$2:$M$501+SAISIE!$N$2:$N$501)),0)</f>
        <v/>
      </c>
      <c r="C56" s="20">
        <f>IFERROR(SUMPRODUCT(ISNUMBER(MATCH(SAISIE!$C$2:$C$501,LISTES!$G$2:$G$11,0))*(SAISIE!$D$2:$D$501=LISTES!$K$8),(SAISIE!$E$2:$E$501+SAISIE!$F$2:$F$501+SAISIE!$G$2:$G$501+SAISIE!$H$2:$H$501+SAISIE!$I$2:$I$501+SAISIE!$J$2:$J$501+SAISIE!$K$2:$K$501+SAISIE!$L$2:$L$501+SAISIE!$M$2:$M$501+SAISIE!$N$2:$N$501)),0)</f>
        <v/>
      </c>
      <c r="D56" s="28">
        <f>IFERROR(SUMPRODUCT(ISNUMBER(MATCH(SAISIE!$C$2:$C$501,LISTES!$I$2:$I$11,0))*(SAISIE!$D$2:$D$501=LISTES!$K$8),(SAISIE!$E$2:$E$501+SAISIE!$F$2:$F$501+SAISIE!$G$2:$G$501+SAISIE!$H$2:$H$501+SAISIE!$I$2:$I$501+SAISIE!$J$2:$J$501+SAISIE!$K$2:$K$501+SAISIE!$L$2:$L$501+SAISIE!$M$2:$M$501+SAISIE!$N$2:$N$501)),0)</f>
        <v/>
      </c>
      <c r="E56" s="54">
        <f>SUM(B56:D56)</f>
        <v/>
      </c>
      <c r="F56" s="39">
        <f>IFERROR(COUNTIFS(SAISIE!$D$2:$D$501,LISTES!$K$8),0)</f>
        <v/>
      </c>
      <c r="G56" s="39">
        <f>IFERROR(SUMPRODUCT((SAISIE!$D$2:$D$501=LISTES!$K$8)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6" s="39">
        <f>IFERROR(SUMPRODUCT((SAISIE!$D$2:$D$501=LISTES!$K$8)/(COUNTIFS(SAISIE!$A$2:$A$501,SAISIE!$A$2:$A$501,SAISIE!$D$2:$D$501,LISTES!$K$8)+((SAISIE!$D$2:$D$501&lt;&gt;LISTES!$K$8)*1E9))),0)</f>
        <v/>
      </c>
    </row>
    <row r="57" ht="16" customHeight="1">
      <c r="A57" s="8">
        <f>LISTES!$K$9</f>
        <v/>
      </c>
      <c r="B57" s="12">
        <f>IFERROR(SUMPRODUCT(ISNUMBER(MATCH(SAISIE!$C$2:$C$501,LISTES!$E$2:$E$11,0))*(SAISIE!$D$2:$D$501=LISTES!$K$9),(SAISIE!$E$2:$E$501+SAISIE!$F$2:$F$501+SAISIE!$G$2:$G$501+SAISIE!$H$2:$H$501+SAISIE!$I$2:$I$501+SAISIE!$J$2:$J$501+SAISIE!$K$2:$K$501+SAISIE!$L$2:$L$501+SAISIE!$M$2:$M$501+SAISIE!$N$2:$N$501)),0)</f>
        <v/>
      </c>
      <c r="C57" s="20">
        <f>IFERROR(SUMPRODUCT(ISNUMBER(MATCH(SAISIE!$C$2:$C$501,LISTES!$G$2:$G$11,0))*(SAISIE!$D$2:$D$501=LISTES!$K$9),(SAISIE!$E$2:$E$501+SAISIE!$F$2:$F$501+SAISIE!$G$2:$G$501+SAISIE!$H$2:$H$501+SAISIE!$I$2:$I$501+SAISIE!$J$2:$J$501+SAISIE!$K$2:$K$501+SAISIE!$L$2:$L$501+SAISIE!$M$2:$M$501+SAISIE!$N$2:$N$501)),0)</f>
        <v/>
      </c>
      <c r="D57" s="28">
        <f>IFERROR(SUMPRODUCT(ISNUMBER(MATCH(SAISIE!$C$2:$C$501,LISTES!$I$2:$I$11,0))*(SAISIE!$D$2:$D$501=LISTES!$K$9),(SAISIE!$E$2:$E$501+SAISIE!$F$2:$F$501+SAISIE!$G$2:$G$501+SAISIE!$H$2:$H$501+SAISIE!$I$2:$I$501+SAISIE!$J$2:$J$501+SAISIE!$K$2:$K$501+SAISIE!$L$2:$L$501+SAISIE!$M$2:$M$501+SAISIE!$N$2:$N$501)),0)</f>
        <v/>
      </c>
      <c r="E57" s="54">
        <f>SUM(B57:D57)</f>
        <v/>
      </c>
      <c r="F57" s="39">
        <f>IFERROR(COUNTIFS(SAISIE!$D$2:$D$501,LISTES!$K$9),0)</f>
        <v/>
      </c>
      <c r="G57" s="39">
        <f>IFERROR(SUMPRODUCT((SAISIE!$D$2:$D$501=LISTES!$K$9)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7" s="39">
        <f>IFERROR(SUMPRODUCT((SAISIE!$D$2:$D$501=LISTES!$K$9)/(COUNTIFS(SAISIE!$A$2:$A$501,SAISIE!$A$2:$A$501,SAISIE!$D$2:$D$501,LISTES!$K$9)+((SAISIE!$D$2:$D$501&lt;&gt;LISTES!$K$9)*1E9))),0)</f>
        <v/>
      </c>
    </row>
    <row r="58" ht="16" customHeight="1">
      <c r="A58" s="8">
        <f>LISTES!$K$10</f>
        <v/>
      </c>
      <c r="B58" s="12">
        <f>IFERROR(SUMPRODUCT(ISNUMBER(MATCH(SAISIE!$C$2:$C$501,LISTES!$E$2:$E$11,0))*(SAISIE!$D$2:$D$501=LISTES!$K$10),(SAISIE!$E$2:$E$501+SAISIE!$F$2:$F$501+SAISIE!$G$2:$G$501+SAISIE!$H$2:$H$501+SAISIE!$I$2:$I$501+SAISIE!$J$2:$J$501+SAISIE!$K$2:$K$501+SAISIE!$L$2:$L$501+SAISIE!$M$2:$M$501+SAISIE!$N$2:$N$501)),0)</f>
        <v/>
      </c>
      <c r="C58" s="20">
        <f>IFERROR(SUMPRODUCT(ISNUMBER(MATCH(SAISIE!$C$2:$C$501,LISTES!$G$2:$G$11,0))*(SAISIE!$D$2:$D$501=LISTES!$K$10),(SAISIE!$E$2:$E$501+SAISIE!$F$2:$F$501+SAISIE!$G$2:$G$501+SAISIE!$H$2:$H$501+SAISIE!$I$2:$I$501+SAISIE!$J$2:$J$501+SAISIE!$K$2:$K$501+SAISIE!$L$2:$L$501+SAISIE!$M$2:$M$501+SAISIE!$N$2:$N$501)),0)</f>
        <v/>
      </c>
      <c r="D58" s="28">
        <f>IFERROR(SUMPRODUCT(ISNUMBER(MATCH(SAISIE!$C$2:$C$501,LISTES!$I$2:$I$11,0))*(SAISIE!$D$2:$D$501=LISTES!$K$10),(SAISIE!$E$2:$E$501+SAISIE!$F$2:$F$501+SAISIE!$G$2:$G$501+SAISIE!$H$2:$H$501+SAISIE!$I$2:$I$501+SAISIE!$J$2:$J$501+SAISIE!$K$2:$K$501+SAISIE!$L$2:$L$501+SAISIE!$M$2:$M$501+SAISIE!$N$2:$N$501)),0)</f>
        <v/>
      </c>
      <c r="E58" s="54">
        <f>SUM(B58:D58)</f>
        <v/>
      </c>
      <c r="F58" s="39">
        <f>IFERROR(COUNTIFS(SAISIE!$D$2:$D$501,LISTES!$K$10),0)</f>
        <v/>
      </c>
      <c r="G58" s="39">
        <f>IFERROR(SUMPRODUCT((SAISIE!$D$2:$D$501=LISTES!$K$10)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8" s="39">
        <f>IFERROR(SUMPRODUCT((SAISIE!$D$2:$D$501=LISTES!$K$10)/(COUNTIFS(SAISIE!$A$2:$A$501,SAISIE!$A$2:$A$501,SAISIE!$D$2:$D$501,LISTES!$K$10)+((SAISIE!$D$2:$D$501&lt;&gt;LISTES!$K$10)*1E9))),0)</f>
        <v/>
      </c>
    </row>
    <row r="59" ht="16" customHeight="1">
      <c r="A59" s="8">
        <f>LISTES!$K$11</f>
        <v/>
      </c>
      <c r="B59" s="12">
        <f>IFERROR(SUMPRODUCT(ISNUMBER(MATCH(SAISIE!$C$2:$C$501,LISTES!$E$2:$E$11,0))*(SAISIE!$D$2:$D$501=LISTES!$K$11),(SAISIE!$E$2:$E$501+SAISIE!$F$2:$F$501+SAISIE!$G$2:$G$501+SAISIE!$H$2:$H$501+SAISIE!$I$2:$I$501+SAISIE!$J$2:$J$501+SAISIE!$K$2:$K$501+SAISIE!$L$2:$L$501+SAISIE!$M$2:$M$501+SAISIE!$N$2:$N$501)),0)</f>
        <v/>
      </c>
      <c r="C59" s="20">
        <f>IFERROR(SUMPRODUCT(ISNUMBER(MATCH(SAISIE!$C$2:$C$501,LISTES!$G$2:$G$11,0))*(SAISIE!$D$2:$D$501=LISTES!$K$11),(SAISIE!$E$2:$E$501+SAISIE!$F$2:$F$501+SAISIE!$G$2:$G$501+SAISIE!$H$2:$H$501+SAISIE!$I$2:$I$501+SAISIE!$J$2:$J$501+SAISIE!$K$2:$K$501+SAISIE!$L$2:$L$501+SAISIE!$M$2:$M$501+SAISIE!$N$2:$N$501)),0)</f>
        <v/>
      </c>
      <c r="D59" s="28">
        <f>IFERROR(SUMPRODUCT(ISNUMBER(MATCH(SAISIE!$C$2:$C$501,LISTES!$I$2:$I$11,0))*(SAISIE!$D$2:$D$501=LISTES!$K$11),(SAISIE!$E$2:$E$501+SAISIE!$F$2:$F$501+SAISIE!$G$2:$G$501+SAISIE!$H$2:$H$501+SAISIE!$I$2:$I$501+SAISIE!$J$2:$J$501+SAISIE!$K$2:$K$501+SAISIE!$L$2:$L$501+SAISIE!$M$2:$M$501+SAISIE!$N$2:$N$501)),0)</f>
        <v/>
      </c>
      <c r="E59" s="54">
        <f>SUM(B59:D59)</f>
        <v/>
      </c>
      <c r="F59" s="39">
        <f>IFERROR(COUNTIFS(SAISIE!$D$2:$D$501,LISTES!$K$11),0)</f>
        <v/>
      </c>
      <c r="G59" s="39">
        <f>IFERROR(SUMPRODUCT((SAISIE!$D$2:$D$501=LISTES!$K$11)*((SAISIE!$E$2:$E$501&gt;0)+(SAISIE!$F$2:$F$501&gt;0)+(SAISIE!$G$2:$G$501&gt;0)+(SAISIE!$H$2:$H$501&gt;0)+(SAISIE!$I$2:$I$501&gt;0)+(SAISIE!$J$2:$J$501&gt;0)+(SAISIE!$K$2:$K$501&gt;0)+(SAISIE!$L$2:$L$501&gt;0)+(SAISIE!$M$2:$M$501&gt;0)+(SAISIE!$N$2:$N$501&gt;0))),0)</f>
        <v/>
      </c>
      <c r="H59" s="39">
        <f>IFERROR(SUMPRODUCT((SAISIE!$D$2:$D$501=LISTES!$K$11)/(COUNTIFS(SAISIE!$A$2:$A$501,SAISIE!$A$2:$A$501,SAISIE!$D$2:$D$501,LISTES!$K$11)+((SAISIE!$D$2:$D$501&lt;&gt;LISTES!$K$11)*1E9))),0)</f>
        <v/>
      </c>
    </row>
    <row r="60" ht="18" customHeight="1">
      <c r="A60" s="1" t="inlineStr">
        <is>
          <t>TOTAL</t>
        </is>
      </c>
      <c r="B60" s="35">
        <f>SUM(B50:B59)</f>
        <v/>
      </c>
      <c r="C60" s="35">
        <f>SUM(C50:C59)</f>
        <v/>
      </c>
      <c r="D60" s="35">
        <f>SUM(D50:D59)</f>
        <v/>
      </c>
      <c r="E60" s="35">
        <f>SUM(E50:E59)</f>
        <v/>
      </c>
      <c r="F60" s="40">
        <f>SUM(F50:F59)</f>
        <v/>
      </c>
      <c r="G60" s="40">
        <f>SUM(G50:G59)</f>
        <v/>
      </c>
      <c r="H60" s="40">
        <f>SUM(H50:H59)</f>
        <v/>
      </c>
    </row>
  </sheetData>
  <mergeCells count="13">
    <mergeCell ref="A4:B4"/>
    <mergeCell ref="G4:H4"/>
    <mergeCell ref="E4:F4"/>
    <mergeCell ref="A48:H48"/>
    <mergeCell ref="A1:O1"/>
    <mergeCell ref="A8:O8"/>
    <mergeCell ref="A34:O34"/>
    <mergeCell ref="C3:D3"/>
    <mergeCell ref="A3:B3"/>
    <mergeCell ref="G3:H3"/>
    <mergeCell ref="E3:F3"/>
    <mergeCell ref="A21:O21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3" max="3"/>
    <col width="16" customWidth="1" min="5" max="5"/>
    <col width="16" customWidth="1" min="7" max="7"/>
    <col width="18" customWidth="1" min="9" max="9"/>
    <col width="12" customWidth="1" min="11" max="11"/>
    <col width="16" customWidth="1" min="13" max="13"/>
  </cols>
  <sheetData>
    <row r="1">
      <c r="A1" s="34" t="inlineStr">
        <is>
          <t>Intervenants</t>
        </is>
      </c>
      <c r="C1" s="34" t="inlineStr">
        <is>
          <t>Demi-journée</t>
        </is>
      </c>
      <c r="E1" s="34" t="inlineStr">
        <is>
          <t>RTR Classiques</t>
        </is>
      </c>
      <c r="G1" s="34" t="inlineStr">
        <is>
          <t>RTR Zone Orange</t>
        </is>
      </c>
      <c r="I1" s="34" t="inlineStr">
        <is>
          <t>RTR Neutroniques</t>
        </is>
      </c>
      <c r="K1" s="34" t="inlineStr">
        <is>
          <t>Bâtiments</t>
        </is>
      </c>
      <c r="M1" s="34" t="inlineStr">
        <is>
          <t>▣ Tous RTR (auto)</t>
        </is>
      </c>
    </row>
    <row r="2">
      <c r="A2" s="8" t="inlineStr">
        <is>
          <t>XG</t>
        </is>
      </c>
      <c r="C2" s="8" t="inlineStr">
        <is>
          <t>AM</t>
        </is>
      </c>
      <c r="E2" s="8" t="inlineStr">
        <is>
          <t>RTR-1</t>
        </is>
      </c>
      <c r="G2" s="8" t="inlineStr">
        <is>
          <t>RTR-ZO-1</t>
        </is>
      </c>
      <c r="I2" s="8" t="inlineStr">
        <is>
          <t>RTR-N-1</t>
        </is>
      </c>
      <c r="K2" s="8" t="inlineStr">
        <is>
          <t>BR5</t>
        </is>
      </c>
      <c r="M2" s="8">
        <f>IF(E2&lt;&gt;"",E2,"")</f>
        <v/>
      </c>
    </row>
    <row r="3">
      <c r="A3" s="8" t="inlineStr">
        <is>
          <t>VM</t>
        </is>
      </c>
      <c r="C3" s="8" t="inlineStr">
        <is>
          <t>PM</t>
        </is>
      </c>
      <c r="E3" s="8" t="inlineStr"/>
      <c r="G3" s="8" t="inlineStr"/>
      <c r="I3" s="8" t="inlineStr"/>
      <c r="K3" s="8" t="inlineStr">
        <is>
          <t>BR6</t>
        </is>
      </c>
      <c r="M3" s="8">
        <f>IF(E3&lt;&gt;"",E3,"")</f>
        <v/>
      </c>
    </row>
    <row r="4">
      <c r="A4" s="8" t="inlineStr">
        <is>
          <t>LB</t>
        </is>
      </c>
      <c r="C4" s="8" t="inlineStr">
        <is>
          <t>HS</t>
        </is>
      </c>
      <c r="E4" s="8" t="inlineStr"/>
      <c r="G4" s="8" t="inlineStr"/>
      <c r="I4" s="8" t="inlineStr"/>
      <c r="K4" s="8" t="inlineStr">
        <is>
          <t>BL5</t>
        </is>
      </c>
      <c r="M4" s="8">
        <f>IF(E4&lt;&gt;"",E4,"")</f>
        <v/>
      </c>
    </row>
    <row r="5">
      <c r="A5" s="8" t="inlineStr">
        <is>
          <t>BB</t>
        </is>
      </c>
      <c r="E5" s="8" t="inlineStr"/>
      <c r="G5" s="8" t="inlineStr"/>
      <c r="I5" s="8" t="inlineStr"/>
      <c r="K5" s="8" t="inlineStr">
        <is>
          <t>BL6</t>
        </is>
      </c>
      <c r="M5" s="8">
        <f>IF(E5&lt;&gt;"",E5,"")</f>
        <v/>
      </c>
    </row>
    <row r="6">
      <c r="A6" s="8" t="inlineStr">
        <is>
          <t>AA</t>
        </is>
      </c>
      <c r="E6" s="8" t="inlineStr"/>
      <c r="G6" s="8" t="inlineStr"/>
      <c r="I6" s="8" t="inlineStr"/>
      <c r="K6" s="8" t="inlineStr">
        <is>
          <t>BL7</t>
        </is>
      </c>
      <c r="M6" s="8">
        <f>IF(E6&lt;&gt;"",E6,"")</f>
        <v/>
      </c>
    </row>
    <row r="7">
      <c r="A7" s="8" t="inlineStr">
        <is>
          <t>AC</t>
        </is>
      </c>
      <c r="E7" s="8" t="inlineStr"/>
      <c r="G7" s="8" t="inlineStr"/>
      <c r="I7" s="8" t="inlineStr"/>
      <c r="K7" s="8" t="inlineStr">
        <is>
          <t>BK5</t>
        </is>
      </c>
      <c r="M7" s="8">
        <f>IF(E7&lt;&gt;"",E7,"")</f>
        <v/>
      </c>
    </row>
    <row r="8">
      <c r="E8" s="8" t="inlineStr"/>
      <c r="G8" s="8" t="inlineStr"/>
      <c r="I8" s="8" t="inlineStr"/>
      <c r="K8" s="8" t="inlineStr">
        <is>
          <t>BK6</t>
        </is>
      </c>
      <c r="M8" s="8">
        <f>IF(E8&lt;&gt;"",E8,"")</f>
        <v/>
      </c>
    </row>
    <row r="9">
      <c r="E9" s="8" t="inlineStr"/>
      <c r="G9" s="8" t="inlineStr"/>
      <c r="I9" s="8" t="inlineStr"/>
      <c r="K9" s="8" t="inlineStr">
        <is>
          <t>BAN7</t>
        </is>
      </c>
      <c r="M9" s="8">
        <f>IF(E9&lt;&gt;"",E9,"")</f>
        <v/>
      </c>
    </row>
    <row r="10">
      <c r="E10" s="8" t="inlineStr"/>
      <c r="G10" s="8" t="inlineStr"/>
      <c r="I10" s="8" t="inlineStr"/>
      <c r="K10" s="8" t="inlineStr">
        <is>
          <t>DB5</t>
        </is>
      </c>
      <c r="M10" s="8">
        <f>IF(E10&lt;&gt;"",E10,"")</f>
        <v/>
      </c>
    </row>
    <row r="11">
      <c r="E11" s="8" t="inlineStr"/>
      <c r="G11" s="8" t="inlineStr"/>
      <c r="I11" s="8" t="inlineStr"/>
      <c r="K11" s="8" t="inlineStr">
        <is>
          <t>DB6</t>
        </is>
      </c>
      <c r="M11" s="8">
        <f>IF(E11&lt;&gt;"",E11,"")</f>
        <v/>
      </c>
    </row>
    <row r="12">
      <c r="A12" s="8">
        <f>COUNTA(A2:A11)&amp;"/10"</f>
        <v/>
      </c>
      <c r="C12" s="8">
        <f>COUNTA(C2:C11)&amp;"/10"</f>
        <v/>
      </c>
      <c r="E12" s="8">
        <f>COUNTA(E2:E11)&amp;"/10"</f>
        <v/>
      </c>
      <c r="G12" s="8">
        <f>COUNTA(G2:G11)&amp;"/10"</f>
        <v/>
      </c>
      <c r="I12" s="8">
        <f>COUNTA(I2:I11)&amp;"/10"</f>
        <v/>
      </c>
      <c r="K12" s="8">
        <f>COUNTA(K2:K11)&amp;"/10"</f>
        <v/>
      </c>
      <c r="M12" s="8">
        <f>IF(G2&lt;&gt;"",G2,"")</f>
        <v/>
      </c>
    </row>
    <row r="13">
      <c r="M13" s="8">
        <f>IF(G3&lt;&gt;"",G3,"")</f>
        <v/>
      </c>
    </row>
    <row r="14">
      <c r="M14" s="8">
        <f>IF(G4&lt;&gt;"",G4,"")</f>
        <v/>
      </c>
    </row>
    <row r="15">
      <c r="M15" s="8">
        <f>IF(G5&lt;&gt;"",G5,"")</f>
        <v/>
      </c>
    </row>
    <row r="16">
      <c r="M16" s="8">
        <f>IF(G6&lt;&gt;"",G6,"")</f>
        <v/>
      </c>
    </row>
    <row r="17">
      <c r="M17" s="8">
        <f>IF(G7&lt;&gt;"",G7,"")</f>
        <v/>
      </c>
    </row>
    <row r="18">
      <c r="M18" s="8">
        <f>IF(G8&lt;&gt;"",G8,"")</f>
        <v/>
      </c>
    </row>
    <row r="19">
      <c r="M19" s="8">
        <f>IF(G9&lt;&gt;"",G9,"")</f>
        <v/>
      </c>
    </row>
    <row r="20">
      <c r="M20" s="8">
        <f>IF(G10&lt;&gt;"",G10,"")</f>
        <v/>
      </c>
    </row>
    <row r="21">
      <c r="M21" s="8">
        <f>IF(G11&lt;&gt;"",G11,"")</f>
        <v/>
      </c>
    </row>
    <row r="22">
      <c r="M22" s="8">
        <f>IF(I2&lt;&gt;"",I2,"")</f>
        <v/>
      </c>
    </row>
    <row r="23">
      <c r="M23" s="8">
        <f>IF(I3&lt;&gt;"",I3,"")</f>
        <v/>
      </c>
    </row>
    <row r="24">
      <c r="M24" s="8">
        <f>IF(I4&lt;&gt;"",I4,"")</f>
        <v/>
      </c>
    </row>
    <row r="25">
      <c r="M25" s="8">
        <f>IF(I5&lt;&gt;"",I5,"")</f>
        <v/>
      </c>
    </row>
    <row r="26">
      <c r="M26" s="8">
        <f>IF(I6&lt;&gt;"",I6,"")</f>
        <v/>
      </c>
    </row>
    <row r="27">
      <c r="M27" s="8">
        <f>IF(I7&lt;&gt;"",I7,"")</f>
        <v/>
      </c>
    </row>
    <row r="28">
      <c r="M28" s="8">
        <f>IF(I8&lt;&gt;"",I8,"")</f>
        <v/>
      </c>
    </row>
    <row r="29">
      <c r="M29" s="8">
        <f>IF(I9&lt;&gt;"",I9,"")</f>
        <v/>
      </c>
    </row>
    <row r="30">
      <c r="M30" s="8">
        <f>IF(I10&lt;&gt;"",I10,"")</f>
        <v/>
      </c>
    </row>
    <row r="31">
      <c r="M31" s="8">
        <f>IF(I11&lt;&gt;"",I11,"")</f>
        <v/>
      </c>
    </row>
    <row r="32">
      <c r="M32">
        <f>COUNTA(E2:E11)+COUNTA(G2:G11)+COUNTA(I2:I11)&amp;"/30"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2026-02-24T22:58:07Z</dcterms:created>
  <dcterms:modified xmlns:dcterms="http://purl.org/dc/terms/" xmlns:xsi="http://www.w3.org/2001/XMLSchema-instance" xsi:type="dcterms:W3CDTF">2026-02-24T22:58:08Z</dcterms:modified>
</cp:coreProperties>
</file>