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TABLEAU_DE_BORD" sheetId="2" state="visible" r:id="rId2"/>
    <sheet name="SAISIE" sheetId="3" state="visible" r:id="rId3"/>
    <sheet name="SUIVI_RTR" sheetId="4" state="visible" r:id="rId4"/>
    <sheet name="SUIVI_BATIMENT" sheetId="5" state="visible" r:id="rId5"/>
    <sheet name="SUIVI_INTERVENAN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0.000"/>
    <numFmt numFmtId="167" formatCode="0.000%"/>
  </numFmts>
  <fonts count="8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10"/>
    </font>
    <font>
      <b val="1"/>
      <sz val="11"/>
    </font>
    <font>
      <b val="1"/>
      <color rgb="00FFFFFF"/>
      <sz val="11"/>
    </font>
    <font>
      <i val="1"/>
      <color rgb="00888888"/>
      <sz val="9"/>
    </font>
    <font>
      <b val="1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wrapText="1"/>
    </xf>
    <xf numFmtId="0" fontId="6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" fontId="0" fillId="0" borderId="1" pivotButton="0" quotePrefix="0" xfId="0"/>
    <xf numFmtId="165" fontId="0" fillId="0" borderId="1" pivotButton="0" quotePrefix="0" xfId="0"/>
    <xf numFmtId="0" fontId="6" fillId="3" borderId="1" pivotButton="0" quotePrefix="0" xfId="0"/>
    <xf numFmtId="166" fontId="6" fillId="3" borderId="1" pivotButton="0" quotePrefix="0" xfId="0"/>
    <xf numFmtId="167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6" customWidth="1" min="1" max="1"/>
    <col width="3" customWidth="1" min="2" max="2"/>
    <col width="16" customWidth="1" min="3" max="3"/>
    <col width="3" customWidth="1" min="4" max="4"/>
    <col width="16" customWidth="1" min="5" max="5"/>
    <col width="3" customWidth="1" min="6" max="6"/>
    <col width="14" customWidth="1" min="7" max="7"/>
  </cols>
  <sheetData>
    <row r="1">
      <c r="A1" s="1" t="inlineStr">
        <is>
          <t>CONFIGURATION</t>
        </is>
      </c>
    </row>
    <row r="2">
      <c r="A2" s="2" t="inlineStr">
        <is>
          <t>Modifiez les listes ci-dessous.</t>
        </is>
      </c>
    </row>
    <row r="4">
      <c r="A4" s="3" t="inlineStr">
        <is>
          <t>Intervenants</t>
        </is>
      </c>
      <c r="C4" s="3" t="inlineStr">
        <is>
          <t>RTR</t>
        </is>
      </c>
      <c r="E4" s="3" t="inlineStr">
        <is>
          <t>Batiments</t>
        </is>
      </c>
      <c r="G4" s="3" t="inlineStr">
        <is>
          <t>Demi-journee</t>
        </is>
      </c>
    </row>
    <row r="5">
      <c r="A5" s="4" t="inlineStr">
        <is>
          <t>XG</t>
        </is>
      </c>
      <c r="C5" s="4" t="inlineStr">
        <is>
          <t>RTR-1</t>
        </is>
      </c>
      <c r="E5" s="4" t="inlineStr">
        <is>
          <t>BR5</t>
        </is>
      </c>
      <c r="G5" s="4" t="inlineStr">
        <is>
          <t>AM</t>
        </is>
      </c>
    </row>
    <row r="6">
      <c r="A6" s="4" t="inlineStr">
        <is>
          <t>VM</t>
        </is>
      </c>
      <c r="C6" s="4" t="inlineStr">
        <is>
          <t>RTR-ZO-1</t>
        </is>
      </c>
      <c r="E6" s="4" t="inlineStr">
        <is>
          <t>BR6</t>
        </is>
      </c>
      <c r="G6" s="4" t="inlineStr">
        <is>
          <t>PM</t>
        </is>
      </c>
    </row>
    <row r="7">
      <c r="A7" s="4" t="inlineStr">
        <is>
          <t>LB</t>
        </is>
      </c>
      <c r="C7" s="4" t="inlineStr">
        <is>
          <t>RTR-N-1</t>
        </is>
      </c>
      <c r="E7" s="4" t="inlineStr">
        <is>
          <t>BL5</t>
        </is>
      </c>
      <c r="G7" s="4" t="inlineStr">
        <is>
          <t>HS</t>
        </is>
      </c>
    </row>
    <row r="8">
      <c r="A8" s="4" t="inlineStr">
        <is>
          <t>BB</t>
        </is>
      </c>
      <c r="E8" s="4" t="inlineStr">
        <is>
          <t>BL6</t>
        </is>
      </c>
    </row>
    <row r="9">
      <c r="A9" s="4" t="inlineStr">
        <is>
          <t>AA</t>
        </is>
      </c>
      <c r="E9" s="4" t="inlineStr">
        <is>
          <t>BL7</t>
        </is>
      </c>
    </row>
    <row r="10">
      <c r="A10" s="4" t="inlineStr">
        <is>
          <t>AC</t>
        </is>
      </c>
      <c r="E10" s="4" t="inlineStr">
        <is>
          <t>BK5</t>
        </is>
      </c>
    </row>
    <row r="11">
      <c r="E11" s="4" t="inlineStr">
        <is>
          <t>BK6</t>
        </is>
      </c>
    </row>
    <row r="12">
      <c r="E12" s="4" t="inlineStr">
        <is>
          <t>BAN7</t>
        </is>
      </c>
    </row>
    <row r="13">
      <c r="E13" s="4" t="inlineStr">
        <is>
          <t>DB5</t>
        </is>
      </c>
    </row>
    <row r="14">
      <c r="E14" s="4" t="inlineStr">
        <is>
          <t>DB6</t>
        </is>
      </c>
    </row>
    <row r="26">
      <c r="A26" s="5">
        <f>COUNTA(A5:A24)&amp;" / 20 intervenants"</f>
        <v/>
      </c>
      <c r="E26" s="5">
        <f>COUNTA(E5:E24)&amp;" / 20 batiments"</f>
        <v/>
      </c>
    </row>
    <row r="36">
      <c r="C36" s="5">
        <f>COUNTA(C5:C34)&amp;" / 30 RTR"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</cols>
  <sheetData>
    <row r="1">
      <c r="A1" s="6" t="inlineStr">
        <is>
          <t>TABLEAU DE BORD</t>
        </is>
      </c>
    </row>
    <row r="2">
      <c r="A2" s="7" t="inlineStr">
        <is>
          <t>Indicateur</t>
        </is>
      </c>
      <c r="B2" s="7" t="inlineStr">
        <is>
          <t>Valeur</t>
        </is>
      </c>
      <c r="C2" s="7" t="inlineStr">
        <is>
          <t>Unite</t>
        </is>
      </c>
    </row>
    <row r="3">
      <c r="A3" s="8" t="inlineStr">
        <is>
          <t>Dose collective totale</t>
        </is>
      </c>
      <c r="B3" s="9">
        <f>SUIVI_RTR!C33</f>
        <v/>
      </c>
      <c r="C3" s="4" t="inlineStr">
        <is>
          <t>mSv</t>
        </is>
      </c>
    </row>
    <row r="4">
      <c r="A4" s="8" t="inlineStr">
        <is>
          <t>Dose prevue totale</t>
        </is>
      </c>
      <c r="B4" s="9">
        <f>SUIVI_RTR!B33</f>
        <v/>
      </c>
      <c r="C4" s="4" t="inlineStr">
        <is>
          <t>mSv</t>
        </is>
      </c>
    </row>
    <row r="5">
      <c r="A5" s="8" t="inlineStr">
        <is>
          <t>Reste a consommer</t>
        </is>
      </c>
      <c r="B5" s="9">
        <f>IFERROR(SUIVI_RTR!B33-SUIVI_RTR!C33,"")</f>
        <v/>
      </c>
      <c r="C5" s="4" t="inlineStr">
        <is>
          <t>mSv</t>
        </is>
      </c>
    </row>
    <row r="6">
      <c r="A6" s="8" t="inlineStr">
        <is>
          <t>% global consomme</t>
        </is>
      </c>
      <c r="B6" s="10">
        <f>IFERROR(SUIVI_RTR!C33/SUIVI_RTR!B33,"")</f>
        <v/>
      </c>
      <c r="C6" s="4" t="inlineStr">
        <is>
          <t>%</t>
        </is>
      </c>
    </row>
    <row r="7">
      <c r="A7" s="8" t="inlineStr">
        <is>
          <t>Nb total de passages</t>
        </is>
      </c>
      <c r="B7" s="11">
        <f>SUIVI_RTR!F33</f>
        <v/>
      </c>
      <c r="C7" s="4" t="inlineStr">
        <is>
          <t>passages</t>
        </is>
      </c>
    </row>
    <row r="8">
      <c r="A8" s="8" t="inlineStr">
        <is>
          <t>RTR actifs</t>
        </is>
      </c>
      <c r="B8" s="11">
        <f>COUNTA(CONFIG!C5:C34)</f>
        <v/>
      </c>
      <c r="C8" s="4" t="inlineStr">
        <is>
          <t>RTR</t>
        </is>
      </c>
    </row>
    <row r="9">
      <c r="A9" s="8" t="inlineStr">
        <is>
          <t>Intervenants actifs</t>
        </is>
      </c>
      <c r="B9" s="11">
        <f>COUNTA(CONFIG!A5:A24)</f>
        <v/>
      </c>
      <c r="C9" s="4" t="inlineStr">
        <is>
          <t>personnes</t>
        </is>
      </c>
    </row>
    <row r="10">
      <c r="A10" s="8" t="inlineStr">
        <is>
          <t>Dose max individuelle</t>
        </is>
      </c>
      <c r="B10" s="9">
        <f>MAX(SUIVI_INTERVENANT!B3:B22)</f>
        <v/>
      </c>
      <c r="C10" s="4" t="inlineStr">
        <is>
          <t>mSv</t>
        </is>
      </c>
    </row>
    <row r="11">
      <c r="A11" s="8" t="inlineStr">
        <is>
          <t>% max vs limite 3 mSv</t>
        </is>
      </c>
      <c r="B11" s="10">
        <f>IFERROR(MAX(SUIVI_INTERVENANT!B3:B22)/3,"")</f>
        <v/>
      </c>
      <c r="C11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2" customWidth="1" min="3" max="3"/>
    <col width="12" customWidth="1" min="4" max="4"/>
    <col width="12" customWidth="1" min="5" max="5"/>
    <col width="14" customWidth="1" min="6" max="6"/>
    <col width="13" customWidth="1" min="7" max="7"/>
    <col width="12" customWidth="1" min="8" max="8"/>
    <col width="12" customWidth="1" min="9" max="9"/>
    <col width="20" customWidth="1" min="10" max="10"/>
  </cols>
  <sheetData>
    <row r="1">
      <c r="A1" s="7" t="inlineStr">
        <is>
          <t>Date</t>
        </is>
      </c>
      <c r="B1" s="7" t="inlineStr">
        <is>
          <t>DJ</t>
        </is>
      </c>
      <c r="C1" s="7" t="inlineStr">
        <is>
          <t>RTR</t>
        </is>
      </c>
      <c r="D1" s="7" t="inlineStr">
        <is>
          <t>Batiment</t>
        </is>
      </c>
      <c r="E1" s="7" t="inlineStr">
        <is>
          <t>Hp(10) mSv</t>
        </is>
      </c>
      <c r="F1" s="7" t="inlineStr">
        <is>
          <t>Hp(0.07) mSv</t>
        </is>
      </c>
      <c r="G1" s="7" t="inlineStr">
        <is>
          <t>Neutron mSv</t>
        </is>
      </c>
      <c r="H1" s="7" t="inlineStr">
        <is>
          <t>Dose totale</t>
        </is>
      </c>
      <c r="I1" s="7" t="inlineStr">
        <is>
          <t>Intervenant</t>
        </is>
      </c>
      <c r="J1" s="7" t="inlineStr">
        <is>
          <t>Commentaire</t>
        </is>
      </c>
    </row>
    <row r="2">
      <c r="A2" s="12" t="n">
        <v>46072</v>
      </c>
      <c r="B2" s="4" t="inlineStr">
        <is>
          <t>AM</t>
        </is>
      </c>
      <c r="C2" s="4" t="inlineStr">
        <is>
          <t>RTR-1</t>
        </is>
      </c>
      <c r="D2" s="4" t="inlineStr">
        <is>
          <t>BAN7</t>
        </is>
      </c>
      <c r="E2" s="9" t="n">
        <v>0.002</v>
      </c>
      <c r="F2" s="9" t="n">
        <v>0</v>
      </c>
      <c r="G2" s="9" t="n">
        <v>0</v>
      </c>
      <c r="H2" s="9">
        <f>IF(OR(E2&gt;0,F2&gt;0,G2&gt;0),SUM(E2:G2),"")</f>
        <v/>
      </c>
      <c r="I2" s="4" t="inlineStr">
        <is>
          <t>XG</t>
        </is>
      </c>
      <c r="J2" s="4" t="inlineStr">
        <is>
          <t>Exemple de saisie</t>
        </is>
      </c>
    </row>
    <row r="3">
      <c r="A3" s="12">
        <f>IF(B3=CONFIG!$G$5,A2+1,A2)</f>
        <v/>
      </c>
      <c r="B3" s="4">
        <f>IF(B2=CONFIG!$G$6,CONFIG!$G$5,CONFIG!$G$6)</f>
        <v/>
      </c>
      <c r="C3" s="4" t="n"/>
      <c r="D3" s="4" t="n"/>
      <c r="E3" s="9" t="n"/>
      <c r="F3" s="9" t="n"/>
      <c r="G3" s="9" t="n"/>
      <c r="H3" s="9">
        <f>IF(OR(E3&gt;0,F3&gt;0,G3&gt;0),SUM(E3:G3),"")</f>
        <v/>
      </c>
      <c r="I3" s="4" t="n"/>
      <c r="J3" s="4" t="n"/>
    </row>
    <row r="4">
      <c r="A4" s="12">
        <f>IF(B4=CONFIG!$G$5,A3+1,A3)</f>
        <v/>
      </c>
      <c r="B4" s="4">
        <f>IF(B3=CONFIG!$G$6,CONFIG!$G$5,CONFIG!$G$6)</f>
        <v/>
      </c>
      <c r="C4" s="4" t="n"/>
      <c r="D4" s="4" t="n"/>
      <c r="E4" s="9" t="n"/>
      <c r="F4" s="9" t="n"/>
      <c r="G4" s="9" t="n"/>
      <c r="H4" s="9">
        <f>IF(OR(E4&gt;0,F4&gt;0,G4&gt;0),SUM(E4:G4),"")</f>
        <v/>
      </c>
      <c r="I4" s="4" t="n"/>
      <c r="J4" s="4" t="n"/>
    </row>
    <row r="5">
      <c r="A5" s="12">
        <f>IF(B5=CONFIG!$G$5,A4+1,A4)</f>
        <v/>
      </c>
      <c r="B5" s="4">
        <f>IF(B4=CONFIG!$G$6,CONFIG!$G$5,CONFIG!$G$6)</f>
        <v/>
      </c>
      <c r="C5" s="4" t="n"/>
      <c r="D5" s="4" t="n"/>
      <c r="E5" s="9" t="n"/>
      <c r="F5" s="9" t="n"/>
      <c r="G5" s="9" t="n"/>
      <c r="H5" s="9">
        <f>IF(OR(E5&gt;0,F5&gt;0,G5&gt;0),SUM(E5:G5),"")</f>
        <v/>
      </c>
      <c r="I5" s="4" t="n"/>
      <c r="J5" s="4" t="n"/>
    </row>
    <row r="6">
      <c r="A6" s="12">
        <f>IF(B6=CONFIG!$G$5,A5+1,A5)</f>
        <v/>
      </c>
      <c r="B6" s="4">
        <f>IF(B5=CONFIG!$G$6,CONFIG!$G$5,CONFIG!$G$6)</f>
        <v/>
      </c>
      <c r="C6" s="4" t="n"/>
      <c r="D6" s="4" t="n"/>
      <c r="E6" s="9" t="n"/>
      <c r="F6" s="9" t="n"/>
      <c r="G6" s="9" t="n"/>
      <c r="H6" s="9">
        <f>IF(OR(E6&gt;0,F6&gt;0,G6&gt;0),SUM(E6:G6),"")</f>
        <v/>
      </c>
      <c r="I6" s="4" t="n"/>
      <c r="J6" s="4" t="n"/>
    </row>
    <row r="7">
      <c r="A7" s="12">
        <f>IF(B7=CONFIG!$G$5,A6+1,A6)</f>
        <v/>
      </c>
      <c r="B7" s="4">
        <f>IF(B6=CONFIG!$G$6,CONFIG!$G$5,CONFIG!$G$6)</f>
        <v/>
      </c>
      <c r="C7" s="4" t="n"/>
      <c r="D7" s="4" t="n"/>
      <c r="E7" s="9" t="n"/>
      <c r="F7" s="9" t="n"/>
      <c r="G7" s="9" t="n"/>
      <c r="H7" s="9">
        <f>IF(OR(E7&gt;0,F7&gt;0,G7&gt;0),SUM(E7:G7),"")</f>
        <v/>
      </c>
      <c r="I7" s="4" t="n"/>
      <c r="J7" s="4" t="n"/>
    </row>
    <row r="8">
      <c r="A8" s="12">
        <f>IF(B8=CONFIG!$G$5,A7+1,A7)</f>
        <v/>
      </c>
      <c r="B8" s="4">
        <f>IF(B7=CONFIG!$G$6,CONFIG!$G$5,CONFIG!$G$6)</f>
        <v/>
      </c>
      <c r="C8" s="4" t="n"/>
      <c r="D8" s="4" t="n"/>
      <c r="E8" s="9" t="n"/>
      <c r="F8" s="9" t="n"/>
      <c r="G8" s="9" t="n"/>
      <c r="H8" s="9">
        <f>IF(OR(E8&gt;0,F8&gt;0,G8&gt;0),SUM(E8:G8),"")</f>
        <v/>
      </c>
      <c r="I8" s="4" t="n"/>
      <c r="J8" s="4" t="n"/>
    </row>
    <row r="9">
      <c r="A9" s="12">
        <f>IF(B9=CONFIG!$G$5,A8+1,A8)</f>
        <v/>
      </c>
      <c r="B9" s="4">
        <f>IF(B8=CONFIG!$G$6,CONFIG!$G$5,CONFIG!$G$6)</f>
        <v/>
      </c>
      <c r="C9" s="4" t="n"/>
      <c r="D9" s="4" t="n"/>
      <c r="E9" s="9" t="n"/>
      <c r="F9" s="9" t="n"/>
      <c r="G9" s="9" t="n"/>
      <c r="H9" s="9">
        <f>IF(OR(E9&gt;0,F9&gt;0,G9&gt;0),SUM(E9:G9),"")</f>
        <v/>
      </c>
      <c r="I9" s="4" t="n"/>
      <c r="J9" s="4" t="n"/>
    </row>
    <row r="10">
      <c r="A10" s="12">
        <f>IF(B10=CONFIG!$G$5,A9+1,A9)</f>
        <v/>
      </c>
      <c r="B10" s="4">
        <f>IF(B9=CONFIG!$G$6,CONFIG!$G$5,CONFIG!$G$6)</f>
        <v/>
      </c>
      <c r="C10" s="4" t="n"/>
      <c r="D10" s="4" t="n"/>
      <c r="E10" s="9" t="n"/>
      <c r="F10" s="9" t="n"/>
      <c r="G10" s="9" t="n"/>
      <c r="H10" s="9">
        <f>IF(OR(E10&gt;0,F10&gt;0,G10&gt;0),SUM(E10:G10),"")</f>
        <v/>
      </c>
      <c r="I10" s="4" t="n"/>
      <c r="J10" s="4" t="n"/>
    </row>
    <row r="11">
      <c r="A11" s="12">
        <f>IF(B11=CONFIG!$G$5,A10+1,A10)</f>
        <v/>
      </c>
      <c r="B11" s="4">
        <f>IF(B10=CONFIG!$G$6,CONFIG!$G$5,CONFIG!$G$6)</f>
        <v/>
      </c>
      <c r="C11" s="4" t="n"/>
      <c r="D11" s="4" t="n"/>
      <c r="E11" s="9" t="n"/>
      <c r="F11" s="9" t="n"/>
      <c r="G11" s="9" t="n"/>
      <c r="H11" s="9">
        <f>IF(OR(E11&gt;0,F11&gt;0,G11&gt;0),SUM(E11:G11),"")</f>
        <v/>
      </c>
      <c r="I11" s="4" t="n"/>
      <c r="J11" s="4" t="n"/>
    </row>
    <row r="12">
      <c r="A12" s="12">
        <f>IF(B12=CONFIG!$G$5,A11+1,A11)</f>
        <v/>
      </c>
      <c r="B12" s="4">
        <f>IF(B11=CONFIG!$G$6,CONFIG!$G$5,CONFIG!$G$6)</f>
        <v/>
      </c>
      <c r="C12" s="4" t="n"/>
      <c r="D12" s="4" t="n"/>
      <c r="E12" s="9" t="n"/>
      <c r="F12" s="9" t="n"/>
      <c r="G12" s="9" t="n"/>
      <c r="H12" s="9">
        <f>IF(OR(E12&gt;0,F12&gt;0,G12&gt;0),SUM(E12:G12),"")</f>
        <v/>
      </c>
      <c r="I12" s="4" t="n"/>
      <c r="J12" s="4" t="n"/>
    </row>
    <row r="13">
      <c r="A13" s="12">
        <f>IF(B13=CONFIG!$G$5,A12+1,A12)</f>
        <v/>
      </c>
      <c r="B13" s="4">
        <f>IF(B12=CONFIG!$G$6,CONFIG!$G$5,CONFIG!$G$6)</f>
        <v/>
      </c>
      <c r="C13" s="4" t="n"/>
      <c r="D13" s="4" t="n"/>
      <c r="E13" s="9" t="n"/>
      <c r="F13" s="9" t="n"/>
      <c r="G13" s="9" t="n"/>
      <c r="H13" s="9">
        <f>IF(OR(E13&gt;0,F13&gt;0,G13&gt;0),SUM(E13:G13),"")</f>
        <v/>
      </c>
      <c r="I13" s="4" t="n"/>
      <c r="J13" s="4" t="n"/>
    </row>
    <row r="14">
      <c r="A14" s="12">
        <f>IF(B14=CONFIG!$G$5,A13+1,A13)</f>
        <v/>
      </c>
      <c r="B14" s="4">
        <f>IF(B13=CONFIG!$G$6,CONFIG!$G$5,CONFIG!$G$6)</f>
        <v/>
      </c>
      <c r="C14" s="4" t="n"/>
      <c r="D14" s="4" t="n"/>
      <c r="E14" s="9" t="n"/>
      <c r="F14" s="9" t="n"/>
      <c r="G14" s="9" t="n"/>
      <c r="H14" s="9">
        <f>IF(OR(E14&gt;0,F14&gt;0,G14&gt;0),SUM(E14:G14),"")</f>
        <v/>
      </c>
      <c r="I14" s="4" t="n"/>
      <c r="J14" s="4" t="n"/>
    </row>
    <row r="15">
      <c r="A15" s="12">
        <f>IF(B15=CONFIG!$G$5,A14+1,A14)</f>
        <v/>
      </c>
      <c r="B15" s="4">
        <f>IF(B14=CONFIG!$G$6,CONFIG!$G$5,CONFIG!$G$6)</f>
        <v/>
      </c>
      <c r="C15" s="4" t="n"/>
      <c r="D15" s="4" t="n"/>
      <c r="E15" s="9" t="n"/>
      <c r="F15" s="9" t="n"/>
      <c r="G15" s="9" t="n"/>
      <c r="H15" s="9">
        <f>IF(OR(E15&gt;0,F15&gt;0,G15&gt;0),SUM(E15:G15),"")</f>
        <v/>
      </c>
      <c r="I15" s="4" t="n"/>
      <c r="J15" s="4" t="n"/>
    </row>
    <row r="16">
      <c r="A16" s="12">
        <f>IF(B16=CONFIG!$G$5,A15+1,A15)</f>
        <v/>
      </c>
      <c r="B16" s="4">
        <f>IF(B15=CONFIG!$G$6,CONFIG!$G$5,CONFIG!$G$6)</f>
        <v/>
      </c>
      <c r="C16" s="4" t="n"/>
      <c r="D16" s="4" t="n"/>
      <c r="E16" s="9" t="n"/>
      <c r="F16" s="9" t="n"/>
      <c r="G16" s="9" t="n"/>
      <c r="H16" s="9">
        <f>IF(OR(E16&gt;0,F16&gt;0,G16&gt;0),SUM(E16:G16),"")</f>
        <v/>
      </c>
      <c r="I16" s="4" t="n"/>
      <c r="J16" s="4" t="n"/>
    </row>
    <row r="17">
      <c r="A17" s="12">
        <f>IF(B17=CONFIG!$G$5,A16+1,A16)</f>
        <v/>
      </c>
      <c r="B17" s="4">
        <f>IF(B16=CONFIG!$G$6,CONFIG!$G$5,CONFIG!$G$6)</f>
        <v/>
      </c>
      <c r="C17" s="4" t="n"/>
      <c r="D17" s="4" t="n"/>
      <c r="E17" s="9" t="n"/>
      <c r="F17" s="9" t="n"/>
      <c r="G17" s="9" t="n"/>
      <c r="H17" s="9">
        <f>IF(OR(E17&gt;0,F17&gt;0,G17&gt;0),SUM(E17:G17),"")</f>
        <v/>
      </c>
      <c r="I17" s="4" t="n"/>
      <c r="J17" s="4" t="n"/>
    </row>
    <row r="18">
      <c r="A18" s="12">
        <f>IF(B18=CONFIG!$G$5,A17+1,A17)</f>
        <v/>
      </c>
      <c r="B18" s="4">
        <f>IF(B17=CONFIG!$G$6,CONFIG!$G$5,CONFIG!$G$6)</f>
        <v/>
      </c>
      <c r="C18" s="4" t="n"/>
      <c r="D18" s="4" t="n"/>
      <c r="E18" s="9" t="n"/>
      <c r="F18" s="9" t="n"/>
      <c r="G18" s="9" t="n"/>
      <c r="H18" s="9">
        <f>IF(OR(E18&gt;0,F18&gt;0,G18&gt;0),SUM(E18:G18),"")</f>
        <v/>
      </c>
      <c r="I18" s="4" t="n"/>
      <c r="J18" s="4" t="n"/>
    </row>
    <row r="19">
      <c r="A19" s="12">
        <f>IF(B19=CONFIG!$G$5,A18+1,A18)</f>
        <v/>
      </c>
      <c r="B19" s="4">
        <f>IF(B18=CONFIG!$G$6,CONFIG!$G$5,CONFIG!$G$6)</f>
        <v/>
      </c>
      <c r="C19" s="4" t="n"/>
      <c r="D19" s="4" t="n"/>
      <c r="E19" s="9" t="n"/>
      <c r="F19" s="9" t="n"/>
      <c r="G19" s="9" t="n"/>
      <c r="H19" s="9">
        <f>IF(OR(E19&gt;0,F19&gt;0,G19&gt;0),SUM(E19:G19),"")</f>
        <v/>
      </c>
      <c r="I19" s="4" t="n"/>
      <c r="J19" s="4" t="n"/>
    </row>
    <row r="20">
      <c r="A20" s="12">
        <f>IF(B20=CONFIG!$G$5,A19+1,A19)</f>
        <v/>
      </c>
      <c r="B20" s="4">
        <f>IF(B19=CONFIG!$G$6,CONFIG!$G$5,CONFIG!$G$6)</f>
        <v/>
      </c>
      <c r="C20" s="4" t="n"/>
      <c r="D20" s="4" t="n"/>
      <c r="E20" s="9" t="n"/>
      <c r="F20" s="9" t="n"/>
      <c r="G20" s="9" t="n"/>
      <c r="H20" s="9">
        <f>IF(OR(E20&gt;0,F20&gt;0,G20&gt;0),SUM(E20:G20),"")</f>
        <v/>
      </c>
      <c r="I20" s="4" t="n"/>
      <c r="J20" s="4" t="n"/>
    </row>
    <row r="21">
      <c r="A21" s="12">
        <f>IF(B21=CONFIG!$G$5,A20+1,A20)</f>
        <v/>
      </c>
      <c r="B21" s="4">
        <f>IF(B20=CONFIG!$G$6,CONFIG!$G$5,CONFIG!$G$6)</f>
        <v/>
      </c>
      <c r="C21" s="4" t="n"/>
      <c r="D21" s="4" t="n"/>
      <c r="E21" s="9" t="n"/>
      <c r="F21" s="9" t="n"/>
      <c r="G21" s="9" t="n"/>
      <c r="H21" s="9">
        <f>IF(OR(E21&gt;0,F21&gt;0,G21&gt;0),SUM(E21:G21),"")</f>
        <v/>
      </c>
      <c r="I21" s="4" t="n"/>
      <c r="J21" s="4" t="n"/>
    </row>
    <row r="22">
      <c r="A22" s="12">
        <f>IF(B22=CONFIG!$G$5,A21+1,A21)</f>
        <v/>
      </c>
      <c r="B22" s="4">
        <f>IF(B21=CONFIG!$G$6,CONFIG!$G$5,CONFIG!$G$6)</f>
        <v/>
      </c>
      <c r="C22" s="4" t="n"/>
      <c r="D22" s="4" t="n"/>
      <c r="E22" s="9" t="n"/>
      <c r="F22" s="9" t="n"/>
      <c r="G22" s="9" t="n"/>
      <c r="H22" s="9">
        <f>IF(OR(E22&gt;0,F22&gt;0,G22&gt;0),SUM(E22:G22),"")</f>
        <v/>
      </c>
      <c r="I22" s="4" t="n"/>
      <c r="J22" s="4" t="n"/>
    </row>
    <row r="23">
      <c r="A23" s="12">
        <f>IF(B23=CONFIG!$G$5,A22+1,A22)</f>
        <v/>
      </c>
      <c r="B23" s="4">
        <f>IF(B22=CONFIG!$G$6,CONFIG!$G$5,CONFIG!$G$6)</f>
        <v/>
      </c>
      <c r="C23" s="4" t="n"/>
      <c r="D23" s="4" t="n"/>
      <c r="E23" s="9" t="n"/>
      <c r="F23" s="9" t="n"/>
      <c r="G23" s="9" t="n"/>
      <c r="H23" s="9">
        <f>IF(OR(E23&gt;0,F23&gt;0,G23&gt;0),SUM(E23:G23),"")</f>
        <v/>
      </c>
      <c r="I23" s="4" t="n"/>
      <c r="J23" s="4" t="n"/>
    </row>
    <row r="24">
      <c r="A24" s="12">
        <f>IF(B24=CONFIG!$G$5,A23+1,A23)</f>
        <v/>
      </c>
      <c r="B24" s="4">
        <f>IF(B23=CONFIG!$G$6,CONFIG!$G$5,CONFIG!$G$6)</f>
        <v/>
      </c>
      <c r="C24" s="4" t="n"/>
      <c r="D24" s="4" t="n"/>
      <c r="E24" s="9" t="n"/>
      <c r="F24" s="9" t="n"/>
      <c r="G24" s="9" t="n"/>
      <c r="H24" s="9">
        <f>IF(OR(E24&gt;0,F24&gt;0,G24&gt;0),SUM(E24:G24),"")</f>
        <v/>
      </c>
      <c r="I24" s="4" t="n"/>
      <c r="J24" s="4" t="n"/>
    </row>
    <row r="25">
      <c r="A25" s="12">
        <f>IF(B25=CONFIG!$G$5,A24+1,A24)</f>
        <v/>
      </c>
      <c r="B25" s="4">
        <f>IF(B24=CONFIG!$G$6,CONFIG!$G$5,CONFIG!$G$6)</f>
        <v/>
      </c>
      <c r="C25" s="4" t="n"/>
      <c r="D25" s="4" t="n"/>
      <c r="E25" s="9" t="n"/>
      <c r="F25" s="9" t="n"/>
      <c r="G25" s="9" t="n"/>
      <c r="H25" s="9">
        <f>IF(OR(E25&gt;0,F25&gt;0,G25&gt;0),SUM(E25:G25),"")</f>
        <v/>
      </c>
      <c r="I25" s="4" t="n"/>
      <c r="J25" s="4" t="n"/>
    </row>
    <row r="26">
      <c r="A26" s="12">
        <f>IF(B26=CONFIG!$G$5,A25+1,A25)</f>
        <v/>
      </c>
      <c r="B26" s="4">
        <f>IF(B25=CONFIG!$G$6,CONFIG!$G$5,CONFIG!$G$6)</f>
        <v/>
      </c>
      <c r="C26" s="4" t="n"/>
      <c r="D26" s="4" t="n"/>
      <c r="E26" s="9" t="n"/>
      <c r="F26" s="9" t="n"/>
      <c r="G26" s="9" t="n"/>
      <c r="H26" s="9">
        <f>IF(OR(E26&gt;0,F26&gt;0,G26&gt;0),SUM(E26:G26),"")</f>
        <v/>
      </c>
      <c r="I26" s="4" t="n"/>
      <c r="J26" s="4" t="n"/>
    </row>
    <row r="27">
      <c r="A27" s="12">
        <f>IF(B27=CONFIG!$G$5,A26+1,A26)</f>
        <v/>
      </c>
      <c r="B27" s="4">
        <f>IF(B26=CONFIG!$G$6,CONFIG!$G$5,CONFIG!$G$6)</f>
        <v/>
      </c>
      <c r="C27" s="4" t="n"/>
      <c r="D27" s="4" t="n"/>
      <c r="E27" s="9" t="n"/>
      <c r="F27" s="9" t="n"/>
      <c r="G27" s="9" t="n"/>
      <c r="H27" s="9">
        <f>IF(OR(E27&gt;0,F27&gt;0,G27&gt;0),SUM(E27:G27),"")</f>
        <v/>
      </c>
      <c r="I27" s="4" t="n"/>
      <c r="J27" s="4" t="n"/>
    </row>
    <row r="28">
      <c r="A28" s="12">
        <f>IF(B28=CONFIG!$G$5,A27+1,A27)</f>
        <v/>
      </c>
      <c r="B28" s="4">
        <f>IF(B27=CONFIG!$G$6,CONFIG!$G$5,CONFIG!$G$6)</f>
        <v/>
      </c>
      <c r="C28" s="4" t="n"/>
      <c r="D28" s="4" t="n"/>
      <c r="E28" s="9" t="n"/>
      <c r="F28" s="9" t="n"/>
      <c r="G28" s="9" t="n"/>
      <c r="H28" s="9">
        <f>IF(OR(E28&gt;0,F28&gt;0,G28&gt;0),SUM(E28:G28),"")</f>
        <v/>
      </c>
      <c r="I28" s="4" t="n"/>
      <c r="J28" s="4" t="n"/>
    </row>
    <row r="29">
      <c r="A29" s="12">
        <f>IF(B29=CONFIG!$G$5,A28+1,A28)</f>
        <v/>
      </c>
      <c r="B29" s="4">
        <f>IF(B28=CONFIG!$G$6,CONFIG!$G$5,CONFIG!$G$6)</f>
        <v/>
      </c>
      <c r="C29" s="4" t="n"/>
      <c r="D29" s="4" t="n"/>
      <c r="E29" s="9" t="n"/>
      <c r="F29" s="9" t="n"/>
      <c r="G29" s="9" t="n"/>
      <c r="H29" s="9">
        <f>IF(OR(E29&gt;0,F29&gt;0,G29&gt;0),SUM(E29:G29),"")</f>
        <v/>
      </c>
      <c r="I29" s="4" t="n"/>
      <c r="J29" s="4" t="n"/>
    </row>
    <row r="30">
      <c r="A30" s="12">
        <f>IF(B30=CONFIG!$G$5,A29+1,A29)</f>
        <v/>
      </c>
      <c r="B30" s="4">
        <f>IF(B29=CONFIG!$G$6,CONFIG!$G$5,CONFIG!$G$6)</f>
        <v/>
      </c>
      <c r="C30" s="4" t="n"/>
      <c r="D30" s="4" t="n"/>
      <c r="E30" s="9" t="n"/>
      <c r="F30" s="9" t="n"/>
      <c r="G30" s="9" t="n"/>
      <c r="H30" s="9">
        <f>IF(OR(E30&gt;0,F30&gt;0,G30&gt;0),SUM(E30:G30),"")</f>
        <v/>
      </c>
      <c r="I30" s="4" t="n"/>
      <c r="J30" s="4" t="n"/>
    </row>
    <row r="31">
      <c r="A31" s="12">
        <f>IF(B31=CONFIG!$G$5,A30+1,A30)</f>
        <v/>
      </c>
      <c r="B31" s="4">
        <f>IF(B30=CONFIG!$G$6,CONFIG!$G$5,CONFIG!$G$6)</f>
        <v/>
      </c>
      <c r="C31" s="4" t="n"/>
      <c r="D31" s="4" t="n"/>
      <c r="E31" s="9" t="n"/>
      <c r="F31" s="9" t="n"/>
      <c r="G31" s="9" t="n"/>
      <c r="H31" s="9">
        <f>IF(OR(E31&gt;0,F31&gt;0,G31&gt;0),SUM(E31:G31),"")</f>
        <v/>
      </c>
      <c r="I31" s="4" t="n"/>
      <c r="J31" s="4" t="n"/>
    </row>
    <row r="32">
      <c r="A32" s="12">
        <f>IF(B32=CONFIG!$G$5,A31+1,A31)</f>
        <v/>
      </c>
      <c r="B32" s="4">
        <f>IF(B31=CONFIG!$G$6,CONFIG!$G$5,CONFIG!$G$6)</f>
        <v/>
      </c>
      <c r="C32" s="4" t="n"/>
      <c r="D32" s="4" t="n"/>
      <c r="E32" s="9" t="n"/>
      <c r="F32" s="9" t="n"/>
      <c r="G32" s="9" t="n"/>
      <c r="H32" s="9">
        <f>IF(OR(E32&gt;0,F32&gt;0,G32&gt;0),SUM(E32:G32),"")</f>
        <v/>
      </c>
      <c r="I32" s="4" t="n"/>
      <c r="J32" s="4" t="n"/>
    </row>
    <row r="33">
      <c r="A33" s="12">
        <f>IF(B33=CONFIG!$G$5,A32+1,A32)</f>
        <v/>
      </c>
      <c r="B33" s="4">
        <f>IF(B32=CONFIG!$G$6,CONFIG!$G$5,CONFIG!$G$6)</f>
        <v/>
      </c>
      <c r="C33" s="4" t="n"/>
      <c r="D33" s="4" t="n"/>
      <c r="E33" s="9" t="n"/>
      <c r="F33" s="9" t="n"/>
      <c r="G33" s="9" t="n"/>
      <c r="H33" s="9">
        <f>IF(OR(E33&gt;0,F33&gt;0,G33&gt;0),SUM(E33:G33),"")</f>
        <v/>
      </c>
      <c r="I33" s="4" t="n"/>
      <c r="J33" s="4" t="n"/>
    </row>
    <row r="34">
      <c r="A34" s="12">
        <f>IF(B34=CONFIG!$G$5,A33+1,A33)</f>
        <v/>
      </c>
      <c r="B34" s="4">
        <f>IF(B33=CONFIG!$G$6,CONFIG!$G$5,CONFIG!$G$6)</f>
        <v/>
      </c>
      <c r="C34" s="4" t="n"/>
      <c r="D34" s="4" t="n"/>
      <c r="E34" s="9" t="n"/>
      <c r="F34" s="9" t="n"/>
      <c r="G34" s="9" t="n"/>
      <c r="H34" s="9">
        <f>IF(OR(E34&gt;0,F34&gt;0,G34&gt;0),SUM(E34:G34),"")</f>
        <v/>
      </c>
      <c r="I34" s="4" t="n"/>
      <c r="J34" s="4" t="n"/>
    </row>
    <row r="35">
      <c r="A35" s="12">
        <f>IF(B35=CONFIG!$G$5,A34+1,A34)</f>
        <v/>
      </c>
      <c r="B35" s="4">
        <f>IF(B34=CONFIG!$G$6,CONFIG!$G$5,CONFIG!$G$6)</f>
        <v/>
      </c>
      <c r="C35" s="4" t="n"/>
      <c r="D35" s="4" t="n"/>
      <c r="E35" s="9" t="n"/>
      <c r="F35" s="9" t="n"/>
      <c r="G35" s="9" t="n"/>
      <c r="H35" s="9">
        <f>IF(OR(E35&gt;0,F35&gt;0,G35&gt;0),SUM(E35:G35),"")</f>
        <v/>
      </c>
      <c r="I35" s="4" t="n"/>
      <c r="J35" s="4" t="n"/>
    </row>
    <row r="36">
      <c r="A36" s="12">
        <f>IF(B36=CONFIG!$G$5,A35+1,A35)</f>
        <v/>
      </c>
      <c r="B36" s="4">
        <f>IF(B35=CONFIG!$G$6,CONFIG!$G$5,CONFIG!$G$6)</f>
        <v/>
      </c>
      <c r="C36" s="4" t="n"/>
      <c r="D36" s="4" t="n"/>
      <c r="E36" s="9" t="n"/>
      <c r="F36" s="9" t="n"/>
      <c r="G36" s="9" t="n"/>
      <c r="H36" s="9">
        <f>IF(OR(E36&gt;0,F36&gt;0,G36&gt;0),SUM(E36:G36),"")</f>
        <v/>
      </c>
      <c r="I36" s="4" t="n"/>
      <c r="J36" s="4" t="n"/>
    </row>
    <row r="37">
      <c r="A37" s="12">
        <f>IF(B37=CONFIG!$G$5,A36+1,A36)</f>
        <v/>
      </c>
      <c r="B37" s="4">
        <f>IF(B36=CONFIG!$G$6,CONFIG!$G$5,CONFIG!$G$6)</f>
        <v/>
      </c>
      <c r="C37" s="4" t="n"/>
      <c r="D37" s="4" t="n"/>
      <c r="E37" s="9" t="n"/>
      <c r="F37" s="9" t="n"/>
      <c r="G37" s="9" t="n"/>
      <c r="H37" s="9">
        <f>IF(OR(E37&gt;0,F37&gt;0,G37&gt;0),SUM(E37:G37),"")</f>
        <v/>
      </c>
      <c r="I37" s="4" t="n"/>
      <c r="J37" s="4" t="n"/>
    </row>
    <row r="38">
      <c r="A38" s="12">
        <f>IF(B38=CONFIG!$G$5,A37+1,A37)</f>
        <v/>
      </c>
      <c r="B38" s="4">
        <f>IF(B37=CONFIG!$G$6,CONFIG!$G$5,CONFIG!$G$6)</f>
        <v/>
      </c>
      <c r="C38" s="4" t="n"/>
      <c r="D38" s="4" t="n"/>
      <c r="E38" s="9" t="n"/>
      <c r="F38" s="9" t="n"/>
      <c r="G38" s="9" t="n"/>
      <c r="H38" s="9">
        <f>IF(OR(E38&gt;0,F38&gt;0,G38&gt;0),SUM(E38:G38),"")</f>
        <v/>
      </c>
      <c r="I38" s="4" t="n"/>
      <c r="J38" s="4" t="n"/>
    </row>
    <row r="39">
      <c r="A39" s="12">
        <f>IF(B39=CONFIG!$G$5,A38+1,A38)</f>
        <v/>
      </c>
      <c r="B39" s="4">
        <f>IF(B38=CONFIG!$G$6,CONFIG!$G$5,CONFIG!$G$6)</f>
        <v/>
      </c>
      <c r="C39" s="4" t="n"/>
      <c r="D39" s="4" t="n"/>
      <c r="E39" s="9" t="n"/>
      <c r="F39" s="9" t="n"/>
      <c r="G39" s="9" t="n"/>
      <c r="H39" s="9">
        <f>IF(OR(E39&gt;0,F39&gt;0,G39&gt;0),SUM(E39:G39),"")</f>
        <v/>
      </c>
      <c r="I39" s="4" t="n"/>
      <c r="J39" s="4" t="n"/>
    </row>
    <row r="40">
      <c r="A40" s="12">
        <f>IF(B40=CONFIG!$G$5,A39+1,A39)</f>
        <v/>
      </c>
      <c r="B40" s="4">
        <f>IF(B39=CONFIG!$G$6,CONFIG!$G$5,CONFIG!$G$6)</f>
        <v/>
      </c>
      <c r="C40" s="4" t="n"/>
      <c r="D40" s="4" t="n"/>
      <c r="E40" s="9" t="n"/>
      <c r="F40" s="9" t="n"/>
      <c r="G40" s="9" t="n"/>
      <c r="H40" s="9">
        <f>IF(OR(E40&gt;0,F40&gt;0,G40&gt;0),SUM(E40:G40),"")</f>
        <v/>
      </c>
      <c r="I40" s="4" t="n"/>
      <c r="J40" s="4" t="n"/>
    </row>
    <row r="41">
      <c r="A41" s="12">
        <f>IF(B41=CONFIG!$G$5,A40+1,A40)</f>
        <v/>
      </c>
      <c r="B41" s="4">
        <f>IF(B40=CONFIG!$G$6,CONFIG!$G$5,CONFIG!$G$6)</f>
        <v/>
      </c>
      <c r="C41" s="4" t="n"/>
      <c r="D41" s="4" t="n"/>
      <c r="E41" s="9" t="n"/>
      <c r="F41" s="9" t="n"/>
      <c r="G41" s="9" t="n"/>
      <c r="H41" s="9">
        <f>IF(OR(E41&gt;0,F41&gt;0,G41&gt;0),SUM(E41:G41),"")</f>
        <v/>
      </c>
      <c r="I41" s="4" t="n"/>
      <c r="J41" s="4" t="n"/>
    </row>
    <row r="42">
      <c r="A42" s="12">
        <f>IF(B42=CONFIG!$G$5,A41+1,A41)</f>
        <v/>
      </c>
      <c r="B42" s="4">
        <f>IF(B41=CONFIG!$G$6,CONFIG!$G$5,CONFIG!$G$6)</f>
        <v/>
      </c>
      <c r="C42" s="4" t="n"/>
      <c r="D42" s="4" t="n"/>
      <c r="E42" s="9" t="n"/>
      <c r="F42" s="9" t="n"/>
      <c r="G42" s="9" t="n"/>
      <c r="H42" s="9">
        <f>IF(OR(E42&gt;0,F42&gt;0,G42&gt;0),SUM(E42:G42),"")</f>
        <v/>
      </c>
      <c r="I42" s="4" t="n"/>
      <c r="J42" s="4" t="n"/>
    </row>
    <row r="43">
      <c r="A43" s="12">
        <f>IF(B43=CONFIG!$G$5,A42+1,A42)</f>
        <v/>
      </c>
      <c r="B43" s="4">
        <f>IF(B42=CONFIG!$G$6,CONFIG!$G$5,CONFIG!$G$6)</f>
        <v/>
      </c>
      <c r="C43" s="4" t="n"/>
      <c r="D43" s="4" t="n"/>
      <c r="E43" s="9" t="n"/>
      <c r="F43" s="9" t="n"/>
      <c r="G43" s="9" t="n"/>
      <c r="H43" s="9">
        <f>IF(OR(E43&gt;0,F43&gt;0,G43&gt;0),SUM(E43:G43),"")</f>
        <v/>
      </c>
      <c r="I43" s="4" t="n"/>
      <c r="J43" s="4" t="n"/>
    </row>
    <row r="44">
      <c r="A44" s="12">
        <f>IF(B44=CONFIG!$G$5,A43+1,A43)</f>
        <v/>
      </c>
      <c r="B44" s="4">
        <f>IF(B43=CONFIG!$G$6,CONFIG!$G$5,CONFIG!$G$6)</f>
        <v/>
      </c>
      <c r="C44" s="4" t="n"/>
      <c r="D44" s="4" t="n"/>
      <c r="E44" s="9" t="n"/>
      <c r="F44" s="9" t="n"/>
      <c r="G44" s="9" t="n"/>
      <c r="H44" s="9">
        <f>IF(OR(E44&gt;0,F44&gt;0,G44&gt;0),SUM(E44:G44),"")</f>
        <v/>
      </c>
      <c r="I44" s="4" t="n"/>
      <c r="J44" s="4" t="n"/>
    </row>
    <row r="45">
      <c r="A45" s="12">
        <f>IF(B45=CONFIG!$G$5,A44+1,A44)</f>
        <v/>
      </c>
      <c r="B45" s="4">
        <f>IF(B44=CONFIG!$G$6,CONFIG!$G$5,CONFIG!$G$6)</f>
        <v/>
      </c>
      <c r="C45" s="4" t="n"/>
      <c r="D45" s="4" t="n"/>
      <c r="E45" s="9" t="n"/>
      <c r="F45" s="9" t="n"/>
      <c r="G45" s="9" t="n"/>
      <c r="H45" s="9">
        <f>IF(OR(E45&gt;0,F45&gt;0,G45&gt;0),SUM(E45:G45),"")</f>
        <v/>
      </c>
      <c r="I45" s="4" t="n"/>
      <c r="J45" s="4" t="n"/>
    </row>
    <row r="46">
      <c r="A46" s="12">
        <f>IF(B46=CONFIG!$G$5,A45+1,A45)</f>
        <v/>
      </c>
      <c r="B46" s="4">
        <f>IF(B45=CONFIG!$G$6,CONFIG!$G$5,CONFIG!$G$6)</f>
        <v/>
      </c>
      <c r="C46" s="4" t="n"/>
      <c r="D46" s="4" t="n"/>
      <c r="E46" s="9" t="n"/>
      <c r="F46" s="9" t="n"/>
      <c r="G46" s="9" t="n"/>
      <c r="H46" s="9">
        <f>IF(OR(E46&gt;0,F46&gt;0,G46&gt;0),SUM(E46:G46),"")</f>
        <v/>
      </c>
      <c r="I46" s="4" t="n"/>
      <c r="J46" s="4" t="n"/>
    </row>
    <row r="47">
      <c r="A47" s="12">
        <f>IF(B47=CONFIG!$G$5,A46+1,A46)</f>
        <v/>
      </c>
      <c r="B47" s="4">
        <f>IF(B46=CONFIG!$G$6,CONFIG!$G$5,CONFIG!$G$6)</f>
        <v/>
      </c>
      <c r="C47" s="4" t="n"/>
      <c r="D47" s="4" t="n"/>
      <c r="E47" s="9" t="n"/>
      <c r="F47" s="9" t="n"/>
      <c r="G47" s="9" t="n"/>
      <c r="H47" s="9">
        <f>IF(OR(E47&gt;0,F47&gt;0,G47&gt;0),SUM(E47:G47),"")</f>
        <v/>
      </c>
      <c r="I47" s="4" t="n"/>
      <c r="J47" s="4" t="n"/>
    </row>
    <row r="48">
      <c r="A48" s="12">
        <f>IF(B48=CONFIG!$G$5,A47+1,A47)</f>
        <v/>
      </c>
      <c r="B48" s="4">
        <f>IF(B47=CONFIG!$G$6,CONFIG!$G$5,CONFIG!$G$6)</f>
        <v/>
      </c>
      <c r="C48" s="4" t="n"/>
      <c r="D48" s="4" t="n"/>
      <c r="E48" s="9" t="n"/>
      <c r="F48" s="9" t="n"/>
      <c r="G48" s="9" t="n"/>
      <c r="H48" s="9">
        <f>IF(OR(E48&gt;0,F48&gt;0,G48&gt;0),SUM(E48:G48),"")</f>
        <v/>
      </c>
      <c r="I48" s="4" t="n"/>
      <c r="J48" s="4" t="n"/>
    </row>
    <row r="49">
      <c r="A49" s="12">
        <f>IF(B49=CONFIG!$G$5,A48+1,A48)</f>
        <v/>
      </c>
      <c r="B49" s="4">
        <f>IF(B48=CONFIG!$G$6,CONFIG!$G$5,CONFIG!$G$6)</f>
        <v/>
      </c>
      <c r="C49" s="4" t="n"/>
      <c r="D49" s="4" t="n"/>
      <c r="E49" s="9" t="n"/>
      <c r="F49" s="9" t="n"/>
      <c r="G49" s="9" t="n"/>
      <c r="H49" s="9">
        <f>IF(OR(E49&gt;0,F49&gt;0,G49&gt;0),SUM(E49:G49),"")</f>
        <v/>
      </c>
      <c r="I49" s="4" t="n"/>
      <c r="J49" s="4" t="n"/>
    </row>
    <row r="50">
      <c r="A50" s="12">
        <f>IF(B50=CONFIG!$G$5,A49+1,A49)</f>
        <v/>
      </c>
      <c r="B50" s="4">
        <f>IF(B49=CONFIG!$G$6,CONFIG!$G$5,CONFIG!$G$6)</f>
        <v/>
      </c>
      <c r="C50" s="4" t="n"/>
      <c r="D50" s="4" t="n"/>
      <c r="E50" s="9" t="n"/>
      <c r="F50" s="9" t="n"/>
      <c r="G50" s="9" t="n"/>
      <c r="H50" s="9">
        <f>IF(OR(E50&gt;0,F50&gt;0,G50&gt;0),SUM(E50:G50),"")</f>
        <v/>
      </c>
      <c r="I50" s="4" t="n"/>
      <c r="J50" s="4" t="n"/>
    </row>
    <row r="51">
      <c r="A51" s="12">
        <f>IF(B51=CONFIG!$G$5,A50+1,A50)</f>
        <v/>
      </c>
      <c r="B51" s="4">
        <f>IF(B50=CONFIG!$G$6,CONFIG!$G$5,CONFIG!$G$6)</f>
        <v/>
      </c>
      <c r="C51" s="4" t="n"/>
      <c r="D51" s="4" t="n"/>
      <c r="E51" s="9" t="n"/>
      <c r="F51" s="9" t="n"/>
      <c r="G51" s="9" t="n"/>
      <c r="H51" s="9">
        <f>IF(OR(E51&gt;0,F51&gt;0,G51&gt;0),SUM(E51:G51),"")</f>
        <v/>
      </c>
      <c r="I51" s="4" t="n"/>
      <c r="J51" s="4" t="n"/>
    </row>
    <row r="52">
      <c r="A52" s="12">
        <f>IF(B52=CONFIG!$G$5,A51+1,A51)</f>
        <v/>
      </c>
      <c r="B52" s="4">
        <f>IF(B51=CONFIG!$G$6,CONFIG!$G$5,CONFIG!$G$6)</f>
        <v/>
      </c>
      <c r="C52" s="4" t="n"/>
      <c r="D52" s="4" t="n"/>
      <c r="E52" s="9" t="n"/>
      <c r="F52" s="9" t="n"/>
      <c r="G52" s="9" t="n"/>
      <c r="H52" s="9">
        <f>IF(OR(E52&gt;0,F52&gt;0,G52&gt;0),SUM(E52:G52),"")</f>
        <v/>
      </c>
      <c r="I52" s="4" t="n"/>
      <c r="J52" s="4" t="n"/>
    </row>
    <row r="53">
      <c r="A53" s="12">
        <f>IF(B53=CONFIG!$G$5,A52+1,A52)</f>
        <v/>
      </c>
      <c r="B53" s="4">
        <f>IF(B52=CONFIG!$G$6,CONFIG!$G$5,CONFIG!$G$6)</f>
        <v/>
      </c>
      <c r="C53" s="4" t="n"/>
      <c r="D53" s="4" t="n"/>
      <c r="E53" s="9" t="n"/>
      <c r="F53" s="9" t="n"/>
      <c r="G53" s="9" t="n"/>
      <c r="H53" s="9">
        <f>IF(OR(E53&gt;0,F53&gt;0,G53&gt;0),SUM(E53:G53),"")</f>
        <v/>
      </c>
      <c r="I53" s="4" t="n"/>
      <c r="J53" s="4" t="n"/>
    </row>
    <row r="54">
      <c r="A54" s="12">
        <f>IF(B54=CONFIG!$G$5,A53+1,A53)</f>
        <v/>
      </c>
      <c r="B54" s="4">
        <f>IF(B53=CONFIG!$G$6,CONFIG!$G$5,CONFIG!$G$6)</f>
        <v/>
      </c>
      <c r="C54" s="4" t="n"/>
      <c r="D54" s="4" t="n"/>
      <c r="E54" s="9" t="n"/>
      <c r="F54" s="9" t="n"/>
      <c r="G54" s="9" t="n"/>
      <c r="H54" s="9">
        <f>IF(OR(E54&gt;0,F54&gt;0,G54&gt;0),SUM(E54:G54),"")</f>
        <v/>
      </c>
      <c r="I54" s="4" t="n"/>
      <c r="J54" s="4" t="n"/>
    </row>
    <row r="55">
      <c r="A55" s="12">
        <f>IF(B55=CONFIG!$G$5,A54+1,A54)</f>
        <v/>
      </c>
      <c r="B55" s="4">
        <f>IF(B54=CONFIG!$G$6,CONFIG!$G$5,CONFIG!$G$6)</f>
        <v/>
      </c>
      <c r="C55" s="4" t="n"/>
      <c r="D55" s="4" t="n"/>
      <c r="E55" s="9" t="n"/>
      <c r="F55" s="9" t="n"/>
      <c r="G55" s="9" t="n"/>
      <c r="H55" s="9">
        <f>IF(OR(E55&gt;0,F55&gt;0,G55&gt;0),SUM(E55:G55),"")</f>
        <v/>
      </c>
      <c r="I55" s="4" t="n"/>
      <c r="J55" s="4" t="n"/>
    </row>
    <row r="56">
      <c r="A56" s="12">
        <f>IF(B56=CONFIG!$G$5,A55+1,A55)</f>
        <v/>
      </c>
      <c r="B56" s="4">
        <f>IF(B55=CONFIG!$G$6,CONFIG!$G$5,CONFIG!$G$6)</f>
        <v/>
      </c>
      <c r="C56" s="4" t="n"/>
      <c r="D56" s="4" t="n"/>
      <c r="E56" s="9" t="n"/>
      <c r="F56" s="9" t="n"/>
      <c r="G56" s="9" t="n"/>
      <c r="H56" s="9">
        <f>IF(OR(E56&gt;0,F56&gt;0,G56&gt;0),SUM(E56:G56),"")</f>
        <v/>
      </c>
      <c r="I56" s="4" t="n"/>
      <c r="J56" s="4" t="n"/>
    </row>
    <row r="57">
      <c r="A57" s="12">
        <f>IF(B57=CONFIG!$G$5,A56+1,A56)</f>
        <v/>
      </c>
      <c r="B57" s="4">
        <f>IF(B56=CONFIG!$G$6,CONFIG!$G$5,CONFIG!$G$6)</f>
        <v/>
      </c>
      <c r="C57" s="4" t="n"/>
      <c r="D57" s="4" t="n"/>
      <c r="E57" s="9" t="n"/>
      <c r="F57" s="9" t="n"/>
      <c r="G57" s="9" t="n"/>
      <c r="H57" s="9">
        <f>IF(OR(E57&gt;0,F57&gt;0,G57&gt;0),SUM(E57:G57),"")</f>
        <v/>
      </c>
      <c r="I57" s="4" t="n"/>
      <c r="J57" s="4" t="n"/>
    </row>
    <row r="58">
      <c r="A58" s="12">
        <f>IF(B58=CONFIG!$G$5,A57+1,A57)</f>
        <v/>
      </c>
      <c r="B58" s="4">
        <f>IF(B57=CONFIG!$G$6,CONFIG!$G$5,CONFIG!$G$6)</f>
        <v/>
      </c>
      <c r="C58" s="4" t="n"/>
      <c r="D58" s="4" t="n"/>
      <c r="E58" s="9" t="n"/>
      <c r="F58" s="9" t="n"/>
      <c r="G58" s="9" t="n"/>
      <c r="H58" s="9">
        <f>IF(OR(E58&gt;0,F58&gt;0,G58&gt;0),SUM(E58:G58),"")</f>
        <v/>
      </c>
      <c r="I58" s="4" t="n"/>
      <c r="J58" s="4" t="n"/>
    </row>
    <row r="59">
      <c r="A59" s="12">
        <f>IF(B59=CONFIG!$G$5,A58+1,A58)</f>
        <v/>
      </c>
      <c r="B59" s="4">
        <f>IF(B58=CONFIG!$G$6,CONFIG!$G$5,CONFIG!$G$6)</f>
        <v/>
      </c>
      <c r="C59" s="4" t="n"/>
      <c r="D59" s="4" t="n"/>
      <c r="E59" s="9" t="n"/>
      <c r="F59" s="9" t="n"/>
      <c r="G59" s="9" t="n"/>
      <c r="H59" s="9">
        <f>IF(OR(E59&gt;0,F59&gt;0,G59&gt;0),SUM(E59:G59),"")</f>
        <v/>
      </c>
      <c r="I59" s="4" t="n"/>
      <c r="J59" s="4" t="n"/>
    </row>
    <row r="60">
      <c r="A60" s="12">
        <f>IF(B60=CONFIG!$G$5,A59+1,A59)</f>
        <v/>
      </c>
      <c r="B60" s="4">
        <f>IF(B59=CONFIG!$G$6,CONFIG!$G$5,CONFIG!$G$6)</f>
        <v/>
      </c>
      <c r="C60" s="4" t="n"/>
      <c r="D60" s="4" t="n"/>
      <c r="E60" s="9" t="n"/>
      <c r="F60" s="9" t="n"/>
      <c r="G60" s="9" t="n"/>
      <c r="H60" s="9">
        <f>IF(OR(E60&gt;0,F60&gt;0,G60&gt;0),SUM(E60:G60),"")</f>
        <v/>
      </c>
      <c r="I60" s="4" t="n"/>
      <c r="J60" s="4" t="n"/>
    </row>
    <row r="61">
      <c r="A61" s="12">
        <f>IF(B61=CONFIG!$G$5,A60+1,A60)</f>
        <v/>
      </c>
      <c r="B61" s="4">
        <f>IF(B60=CONFIG!$G$6,CONFIG!$G$5,CONFIG!$G$6)</f>
        <v/>
      </c>
      <c r="C61" s="4" t="n"/>
      <c r="D61" s="4" t="n"/>
      <c r="E61" s="9" t="n"/>
      <c r="F61" s="9" t="n"/>
      <c r="G61" s="9" t="n"/>
      <c r="H61" s="9">
        <f>IF(OR(E61&gt;0,F61&gt;0,G61&gt;0),SUM(E61:G61),"")</f>
        <v/>
      </c>
      <c r="I61" s="4" t="n"/>
      <c r="J61" s="4" t="n"/>
    </row>
    <row r="62">
      <c r="A62" s="12">
        <f>IF(B62=CONFIG!$G$5,A61+1,A61)</f>
        <v/>
      </c>
      <c r="B62" s="4">
        <f>IF(B61=CONFIG!$G$6,CONFIG!$G$5,CONFIG!$G$6)</f>
        <v/>
      </c>
      <c r="C62" s="4" t="n"/>
      <c r="D62" s="4" t="n"/>
      <c r="E62" s="9" t="n"/>
      <c r="F62" s="9" t="n"/>
      <c r="G62" s="9" t="n"/>
      <c r="H62" s="9">
        <f>IF(OR(E62&gt;0,F62&gt;0,G62&gt;0),SUM(E62:G62),"")</f>
        <v/>
      </c>
      <c r="I62" s="4" t="n"/>
      <c r="J62" s="4" t="n"/>
    </row>
    <row r="63">
      <c r="A63" s="12">
        <f>IF(B63=CONFIG!$G$5,A62+1,A62)</f>
        <v/>
      </c>
      <c r="B63" s="4">
        <f>IF(B62=CONFIG!$G$6,CONFIG!$G$5,CONFIG!$G$6)</f>
        <v/>
      </c>
      <c r="C63" s="4" t="n"/>
      <c r="D63" s="4" t="n"/>
      <c r="E63" s="9" t="n"/>
      <c r="F63" s="9" t="n"/>
      <c r="G63" s="9" t="n"/>
      <c r="H63" s="9">
        <f>IF(OR(E63&gt;0,F63&gt;0,G63&gt;0),SUM(E63:G63),"")</f>
        <v/>
      </c>
      <c r="I63" s="4" t="n"/>
      <c r="J63" s="4" t="n"/>
    </row>
    <row r="64">
      <c r="A64" s="12">
        <f>IF(B64=CONFIG!$G$5,A63+1,A63)</f>
        <v/>
      </c>
      <c r="B64" s="4">
        <f>IF(B63=CONFIG!$G$6,CONFIG!$G$5,CONFIG!$G$6)</f>
        <v/>
      </c>
      <c r="C64" s="4" t="n"/>
      <c r="D64" s="4" t="n"/>
      <c r="E64" s="9" t="n"/>
      <c r="F64" s="9" t="n"/>
      <c r="G64" s="9" t="n"/>
      <c r="H64" s="9">
        <f>IF(OR(E64&gt;0,F64&gt;0,G64&gt;0),SUM(E64:G64),"")</f>
        <v/>
      </c>
      <c r="I64" s="4" t="n"/>
      <c r="J64" s="4" t="n"/>
    </row>
    <row r="65">
      <c r="A65" s="12">
        <f>IF(B65=CONFIG!$G$5,A64+1,A64)</f>
        <v/>
      </c>
      <c r="B65" s="4">
        <f>IF(B64=CONFIG!$G$6,CONFIG!$G$5,CONFIG!$G$6)</f>
        <v/>
      </c>
      <c r="C65" s="4" t="n"/>
      <c r="D65" s="4" t="n"/>
      <c r="E65" s="9" t="n"/>
      <c r="F65" s="9" t="n"/>
      <c r="G65" s="9" t="n"/>
      <c r="H65" s="9">
        <f>IF(OR(E65&gt;0,F65&gt;0,G65&gt;0),SUM(E65:G65),"")</f>
        <v/>
      </c>
      <c r="I65" s="4" t="n"/>
      <c r="J65" s="4" t="n"/>
    </row>
    <row r="66">
      <c r="A66" s="12">
        <f>IF(B66=CONFIG!$G$5,A65+1,A65)</f>
        <v/>
      </c>
      <c r="B66" s="4">
        <f>IF(B65=CONFIG!$G$6,CONFIG!$G$5,CONFIG!$G$6)</f>
        <v/>
      </c>
      <c r="C66" s="4" t="n"/>
      <c r="D66" s="4" t="n"/>
      <c r="E66" s="9" t="n"/>
      <c r="F66" s="9" t="n"/>
      <c r="G66" s="9" t="n"/>
      <c r="H66" s="9">
        <f>IF(OR(E66&gt;0,F66&gt;0,G66&gt;0),SUM(E66:G66),"")</f>
        <v/>
      </c>
      <c r="I66" s="4" t="n"/>
      <c r="J66" s="4" t="n"/>
    </row>
    <row r="67">
      <c r="A67" s="12">
        <f>IF(B67=CONFIG!$G$5,A66+1,A66)</f>
        <v/>
      </c>
      <c r="B67" s="4">
        <f>IF(B66=CONFIG!$G$6,CONFIG!$G$5,CONFIG!$G$6)</f>
        <v/>
      </c>
      <c r="C67" s="4" t="n"/>
      <c r="D67" s="4" t="n"/>
      <c r="E67" s="9" t="n"/>
      <c r="F67" s="9" t="n"/>
      <c r="G67" s="9" t="n"/>
      <c r="H67" s="9">
        <f>IF(OR(E67&gt;0,F67&gt;0,G67&gt;0),SUM(E67:G67),"")</f>
        <v/>
      </c>
      <c r="I67" s="4" t="n"/>
      <c r="J67" s="4" t="n"/>
    </row>
    <row r="68">
      <c r="A68" s="12">
        <f>IF(B68=CONFIG!$G$5,A67+1,A67)</f>
        <v/>
      </c>
      <c r="B68" s="4">
        <f>IF(B67=CONFIG!$G$6,CONFIG!$G$5,CONFIG!$G$6)</f>
        <v/>
      </c>
      <c r="C68" s="4" t="n"/>
      <c r="D68" s="4" t="n"/>
      <c r="E68" s="9" t="n"/>
      <c r="F68" s="9" t="n"/>
      <c r="G68" s="9" t="n"/>
      <c r="H68" s="9">
        <f>IF(OR(E68&gt;0,F68&gt;0,G68&gt;0),SUM(E68:G68),"")</f>
        <v/>
      </c>
      <c r="I68" s="4" t="n"/>
      <c r="J68" s="4" t="n"/>
    </row>
    <row r="69">
      <c r="A69" s="12">
        <f>IF(B69=CONFIG!$G$5,A68+1,A68)</f>
        <v/>
      </c>
      <c r="B69" s="4">
        <f>IF(B68=CONFIG!$G$6,CONFIG!$G$5,CONFIG!$G$6)</f>
        <v/>
      </c>
      <c r="C69" s="4" t="n"/>
      <c r="D69" s="4" t="n"/>
      <c r="E69" s="9" t="n"/>
      <c r="F69" s="9" t="n"/>
      <c r="G69" s="9" t="n"/>
      <c r="H69" s="9">
        <f>IF(OR(E69&gt;0,F69&gt;0,G69&gt;0),SUM(E69:G69),"")</f>
        <v/>
      </c>
      <c r="I69" s="4" t="n"/>
      <c r="J69" s="4" t="n"/>
    </row>
    <row r="70">
      <c r="A70" s="12">
        <f>IF(B70=CONFIG!$G$5,A69+1,A69)</f>
        <v/>
      </c>
      <c r="B70" s="4">
        <f>IF(B69=CONFIG!$G$6,CONFIG!$G$5,CONFIG!$G$6)</f>
        <v/>
      </c>
      <c r="C70" s="4" t="n"/>
      <c r="D70" s="4" t="n"/>
      <c r="E70" s="9" t="n"/>
      <c r="F70" s="9" t="n"/>
      <c r="G70" s="9" t="n"/>
      <c r="H70" s="9">
        <f>IF(OR(E70&gt;0,F70&gt;0,G70&gt;0),SUM(E70:G70),"")</f>
        <v/>
      </c>
      <c r="I70" s="4" t="n"/>
      <c r="J70" s="4" t="n"/>
    </row>
    <row r="71">
      <c r="A71" s="12">
        <f>IF(B71=CONFIG!$G$5,A70+1,A70)</f>
        <v/>
      </c>
      <c r="B71" s="4">
        <f>IF(B70=CONFIG!$G$6,CONFIG!$G$5,CONFIG!$G$6)</f>
        <v/>
      </c>
      <c r="C71" s="4" t="n"/>
      <c r="D71" s="4" t="n"/>
      <c r="E71" s="9" t="n"/>
      <c r="F71" s="9" t="n"/>
      <c r="G71" s="9" t="n"/>
      <c r="H71" s="9">
        <f>IF(OR(E71&gt;0,F71&gt;0,G71&gt;0),SUM(E71:G71),"")</f>
        <v/>
      </c>
      <c r="I71" s="4" t="n"/>
      <c r="J71" s="4" t="n"/>
    </row>
    <row r="72">
      <c r="A72" s="12">
        <f>IF(B72=CONFIG!$G$5,A71+1,A71)</f>
        <v/>
      </c>
      <c r="B72" s="4">
        <f>IF(B71=CONFIG!$G$6,CONFIG!$G$5,CONFIG!$G$6)</f>
        <v/>
      </c>
      <c r="C72" s="4" t="n"/>
      <c r="D72" s="4" t="n"/>
      <c r="E72" s="9" t="n"/>
      <c r="F72" s="9" t="n"/>
      <c r="G72" s="9" t="n"/>
      <c r="H72" s="9">
        <f>IF(OR(E72&gt;0,F72&gt;0,G72&gt;0),SUM(E72:G72),"")</f>
        <v/>
      </c>
      <c r="I72" s="4" t="n"/>
      <c r="J72" s="4" t="n"/>
    </row>
    <row r="73">
      <c r="A73" s="12">
        <f>IF(B73=CONFIG!$G$5,A72+1,A72)</f>
        <v/>
      </c>
      <c r="B73" s="4">
        <f>IF(B72=CONFIG!$G$6,CONFIG!$G$5,CONFIG!$G$6)</f>
        <v/>
      </c>
      <c r="C73" s="4" t="n"/>
      <c r="D73" s="4" t="n"/>
      <c r="E73" s="9" t="n"/>
      <c r="F73" s="9" t="n"/>
      <c r="G73" s="9" t="n"/>
      <c r="H73" s="9">
        <f>IF(OR(E73&gt;0,F73&gt;0,G73&gt;0),SUM(E73:G73),"")</f>
        <v/>
      </c>
      <c r="I73" s="4" t="n"/>
      <c r="J73" s="4" t="n"/>
    </row>
    <row r="74">
      <c r="A74" s="12">
        <f>IF(B74=CONFIG!$G$5,A73+1,A73)</f>
        <v/>
      </c>
      <c r="B74" s="4">
        <f>IF(B73=CONFIG!$G$6,CONFIG!$G$5,CONFIG!$G$6)</f>
        <v/>
      </c>
      <c r="C74" s="4" t="n"/>
      <c r="D74" s="4" t="n"/>
      <c r="E74" s="9" t="n"/>
      <c r="F74" s="9" t="n"/>
      <c r="G74" s="9" t="n"/>
      <c r="H74" s="9">
        <f>IF(OR(E74&gt;0,F74&gt;0,G74&gt;0),SUM(E74:G74),"")</f>
        <v/>
      </c>
      <c r="I74" s="4" t="n"/>
      <c r="J74" s="4" t="n"/>
    </row>
    <row r="75">
      <c r="A75" s="12">
        <f>IF(B75=CONFIG!$G$5,A74+1,A74)</f>
        <v/>
      </c>
      <c r="B75" s="4">
        <f>IF(B74=CONFIG!$G$6,CONFIG!$G$5,CONFIG!$G$6)</f>
        <v/>
      </c>
      <c r="C75" s="4" t="n"/>
      <c r="D75" s="4" t="n"/>
      <c r="E75" s="9" t="n"/>
      <c r="F75" s="9" t="n"/>
      <c r="G75" s="9" t="n"/>
      <c r="H75" s="9">
        <f>IF(OR(E75&gt;0,F75&gt;0,G75&gt;0),SUM(E75:G75),"")</f>
        <v/>
      </c>
      <c r="I75" s="4" t="n"/>
      <c r="J75" s="4" t="n"/>
    </row>
    <row r="76">
      <c r="A76" s="12">
        <f>IF(B76=CONFIG!$G$5,A75+1,A75)</f>
        <v/>
      </c>
      <c r="B76" s="4">
        <f>IF(B75=CONFIG!$G$6,CONFIG!$G$5,CONFIG!$G$6)</f>
        <v/>
      </c>
      <c r="C76" s="4" t="n"/>
      <c r="D76" s="4" t="n"/>
      <c r="E76" s="9" t="n"/>
      <c r="F76" s="9" t="n"/>
      <c r="G76" s="9" t="n"/>
      <c r="H76" s="9">
        <f>IF(OR(E76&gt;0,F76&gt;0,G76&gt;0),SUM(E76:G76),"")</f>
        <v/>
      </c>
      <c r="I76" s="4" t="n"/>
      <c r="J76" s="4" t="n"/>
    </row>
    <row r="77">
      <c r="A77" s="12">
        <f>IF(B77=CONFIG!$G$5,A76+1,A76)</f>
        <v/>
      </c>
      <c r="B77" s="4">
        <f>IF(B76=CONFIG!$G$6,CONFIG!$G$5,CONFIG!$G$6)</f>
        <v/>
      </c>
      <c r="C77" s="4" t="n"/>
      <c r="D77" s="4" t="n"/>
      <c r="E77" s="9" t="n"/>
      <c r="F77" s="9" t="n"/>
      <c r="G77" s="9" t="n"/>
      <c r="H77" s="9">
        <f>IF(OR(E77&gt;0,F77&gt;0,G77&gt;0),SUM(E77:G77),"")</f>
        <v/>
      </c>
      <c r="I77" s="4" t="n"/>
      <c r="J77" s="4" t="n"/>
    </row>
    <row r="78">
      <c r="A78" s="12">
        <f>IF(B78=CONFIG!$G$5,A77+1,A77)</f>
        <v/>
      </c>
      <c r="B78" s="4">
        <f>IF(B77=CONFIG!$G$6,CONFIG!$G$5,CONFIG!$G$6)</f>
        <v/>
      </c>
      <c r="C78" s="4" t="n"/>
      <c r="D78" s="4" t="n"/>
      <c r="E78" s="9" t="n"/>
      <c r="F78" s="9" t="n"/>
      <c r="G78" s="9" t="n"/>
      <c r="H78" s="9">
        <f>IF(OR(E78&gt;0,F78&gt;0,G78&gt;0),SUM(E78:G78),"")</f>
        <v/>
      </c>
      <c r="I78" s="4" t="n"/>
      <c r="J78" s="4" t="n"/>
    </row>
    <row r="79">
      <c r="A79" s="12">
        <f>IF(B79=CONFIG!$G$5,A78+1,A78)</f>
        <v/>
      </c>
      <c r="B79" s="4">
        <f>IF(B78=CONFIG!$G$6,CONFIG!$G$5,CONFIG!$G$6)</f>
        <v/>
      </c>
      <c r="C79" s="4" t="n"/>
      <c r="D79" s="4" t="n"/>
      <c r="E79" s="9" t="n"/>
      <c r="F79" s="9" t="n"/>
      <c r="G79" s="9" t="n"/>
      <c r="H79" s="9">
        <f>IF(OR(E79&gt;0,F79&gt;0,G79&gt;0),SUM(E79:G79),"")</f>
        <v/>
      </c>
      <c r="I79" s="4" t="n"/>
      <c r="J79" s="4" t="n"/>
    </row>
    <row r="80">
      <c r="A80" s="12">
        <f>IF(B80=CONFIG!$G$5,A79+1,A79)</f>
        <v/>
      </c>
      <c r="B80" s="4">
        <f>IF(B79=CONFIG!$G$6,CONFIG!$G$5,CONFIG!$G$6)</f>
        <v/>
      </c>
      <c r="C80" s="4" t="n"/>
      <c r="D80" s="4" t="n"/>
      <c r="E80" s="9" t="n"/>
      <c r="F80" s="9" t="n"/>
      <c r="G80" s="9" t="n"/>
      <c r="H80" s="9">
        <f>IF(OR(E80&gt;0,F80&gt;0,G80&gt;0),SUM(E80:G80),"")</f>
        <v/>
      </c>
      <c r="I80" s="4" t="n"/>
      <c r="J80" s="4" t="n"/>
    </row>
    <row r="81">
      <c r="A81" s="12">
        <f>IF(B81=CONFIG!$G$5,A80+1,A80)</f>
        <v/>
      </c>
      <c r="B81" s="4">
        <f>IF(B80=CONFIG!$G$6,CONFIG!$G$5,CONFIG!$G$6)</f>
        <v/>
      </c>
      <c r="C81" s="4" t="n"/>
      <c r="D81" s="4" t="n"/>
      <c r="E81" s="9" t="n"/>
      <c r="F81" s="9" t="n"/>
      <c r="G81" s="9" t="n"/>
      <c r="H81" s="9">
        <f>IF(OR(E81&gt;0,F81&gt;0,G81&gt;0),SUM(E81:G81),"")</f>
        <v/>
      </c>
      <c r="I81" s="4" t="n"/>
      <c r="J81" s="4" t="n"/>
    </row>
    <row r="82">
      <c r="A82" s="12">
        <f>IF(B82=CONFIG!$G$5,A81+1,A81)</f>
        <v/>
      </c>
      <c r="B82" s="4">
        <f>IF(B81=CONFIG!$G$6,CONFIG!$G$5,CONFIG!$G$6)</f>
        <v/>
      </c>
      <c r="C82" s="4" t="n"/>
      <c r="D82" s="4" t="n"/>
      <c r="E82" s="9" t="n"/>
      <c r="F82" s="9" t="n"/>
      <c r="G82" s="9" t="n"/>
      <c r="H82" s="9">
        <f>IF(OR(E82&gt;0,F82&gt;0,G82&gt;0),SUM(E82:G82),"")</f>
        <v/>
      </c>
      <c r="I82" s="4" t="n"/>
      <c r="J82" s="4" t="n"/>
    </row>
    <row r="83">
      <c r="A83" s="12">
        <f>IF(B83=CONFIG!$G$5,A82+1,A82)</f>
        <v/>
      </c>
      <c r="B83" s="4">
        <f>IF(B82=CONFIG!$G$6,CONFIG!$G$5,CONFIG!$G$6)</f>
        <v/>
      </c>
      <c r="C83" s="4" t="n"/>
      <c r="D83" s="4" t="n"/>
      <c r="E83" s="9" t="n"/>
      <c r="F83" s="9" t="n"/>
      <c r="G83" s="9" t="n"/>
      <c r="H83" s="9">
        <f>IF(OR(E83&gt;0,F83&gt;0,G83&gt;0),SUM(E83:G83),"")</f>
        <v/>
      </c>
      <c r="I83" s="4" t="n"/>
      <c r="J83" s="4" t="n"/>
    </row>
    <row r="84">
      <c r="A84" s="12">
        <f>IF(B84=CONFIG!$G$5,A83+1,A83)</f>
        <v/>
      </c>
      <c r="B84" s="4">
        <f>IF(B83=CONFIG!$G$6,CONFIG!$G$5,CONFIG!$G$6)</f>
        <v/>
      </c>
      <c r="C84" s="4" t="n"/>
      <c r="D84" s="4" t="n"/>
      <c r="E84" s="9" t="n"/>
      <c r="F84" s="9" t="n"/>
      <c r="G84" s="9" t="n"/>
      <c r="H84" s="9">
        <f>IF(OR(E84&gt;0,F84&gt;0,G84&gt;0),SUM(E84:G84),"")</f>
        <v/>
      </c>
      <c r="I84" s="4" t="n"/>
      <c r="J84" s="4" t="n"/>
    </row>
    <row r="85">
      <c r="A85" s="12">
        <f>IF(B85=CONFIG!$G$5,A84+1,A84)</f>
        <v/>
      </c>
      <c r="B85" s="4">
        <f>IF(B84=CONFIG!$G$6,CONFIG!$G$5,CONFIG!$G$6)</f>
        <v/>
      </c>
      <c r="C85" s="4" t="n"/>
      <c r="D85" s="4" t="n"/>
      <c r="E85" s="9" t="n"/>
      <c r="F85" s="9" t="n"/>
      <c r="G85" s="9" t="n"/>
      <c r="H85" s="9">
        <f>IF(OR(E85&gt;0,F85&gt;0,G85&gt;0),SUM(E85:G85),"")</f>
        <v/>
      </c>
      <c r="I85" s="4" t="n"/>
      <c r="J85" s="4" t="n"/>
    </row>
    <row r="86">
      <c r="A86" s="12">
        <f>IF(B86=CONFIG!$G$5,A85+1,A85)</f>
        <v/>
      </c>
      <c r="B86" s="4">
        <f>IF(B85=CONFIG!$G$6,CONFIG!$G$5,CONFIG!$G$6)</f>
        <v/>
      </c>
      <c r="C86" s="4" t="n"/>
      <c r="D86" s="4" t="n"/>
      <c r="E86" s="9" t="n"/>
      <c r="F86" s="9" t="n"/>
      <c r="G86" s="9" t="n"/>
      <c r="H86" s="9">
        <f>IF(OR(E86&gt;0,F86&gt;0,G86&gt;0),SUM(E86:G86),"")</f>
        <v/>
      </c>
      <c r="I86" s="4" t="n"/>
      <c r="J86" s="4" t="n"/>
    </row>
    <row r="87">
      <c r="A87" s="12">
        <f>IF(B87=CONFIG!$G$5,A86+1,A86)</f>
        <v/>
      </c>
      <c r="B87" s="4">
        <f>IF(B86=CONFIG!$G$6,CONFIG!$G$5,CONFIG!$G$6)</f>
        <v/>
      </c>
      <c r="C87" s="4" t="n"/>
      <c r="D87" s="4" t="n"/>
      <c r="E87" s="9" t="n"/>
      <c r="F87" s="9" t="n"/>
      <c r="G87" s="9" t="n"/>
      <c r="H87" s="9">
        <f>IF(OR(E87&gt;0,F87&gt;0,G87&gt;0),SUM(E87:G87),"")</f>
        <v/>
      </c>
      <c r="I87" s="4" t="n"/>
      <c r="J87" s="4" t="n"/>
    </row>
    <row r="88">
      <c r="A88" s="12">
        <f>IF(B88=CONFIG!$G$5,A87+1,A87)</f>
        <v/>
      </c>
      <c r="B88" s="4">
        <f>IF(B87=CONFIG!$G$6,CONFIG!$G$5,CONFIG!$G$6)</f>
        <v/>
      </c>
      <c r="C88" s="4" t="n"/>
      <c r="D88" s="4" t="n"/>
      <c r="E88" s="9" t="n"/>
      <c r="F88" s="9" t="n"/>
      <c r="G88" s="9" t="n"/>
      <c r="H88" s="9">
        <f>IF(OR(E88&gt;0,F88&gt;0,G88&gt;0),SUM(E88:G88),"")</f>
        <v/>
      </c>
      <c r="I88" s="4" t="n"/>
      <c r="J88" s="4" t="n"/>
    </row>
    <row r="89">
      <c r="A89" s="12">
        <f>IF(B89=CONFIG!$G$5,A88+1,A88)</f>
        <v/>
      </c>
      <c r="B89" s="4">
        <f>IF(B88=CONFIG!$G$6,CONFIG!$G$5,CONFIG!$G$6)</f>
        <v/>
      </c>
      <c r="C89" s="4" t="n"/>
      <c r="D89" s="4" t="n"/>
      <c r="E89" s="9" t="n"/>
      <c r="F89" s="9" t="n"/>
      <c r="G89" s="9" t="n"/>
      <c r="H89" s="9">
        <f>IF(OR(E89&gt;0,F89&gt;0,G89&gt;0),SUM(E89:G89),"")</f>
        <v/>
      </c>
      <c r="I89" s="4" t="n"/>
      <c r="J89" s="4" t="n"/>
    </row>
    <row r="90">
      <c r="A90" s="12">
        <f>IF(B90=CONFIG!$G$5,A89+1,A89)</f>
        <v/>
      </c>
      <c r="B90" s="4">
        <f>IF(B89=CONFIG!$G$6,CONFIG!$G$5,CONFIG!$G$6)</f>
        <v/>
      </c>
      <c r="C90" s="4" t="n"/>
      <c r="D90" s="4" t="n"/>
      <c r="E90" s="9" t="n"/>
      <c r="F90" s="9" t="n"/>
      <c r="G90" s="9" t="n"/>
      <c r="H90" s="9">
        <f>IF(OR(E90&gt;0,F90&gt;0,G90&gt;0),SUM(E90:G90),"")</f>
        <v/>
      </c>
      <c r="I90" s="4" t="n"/>
      <c r="J90" s="4" t="n"/>
    </row>
    <row r="91">
      <c r="A91" s="12">
        <f>IF(B91=CONFIG!$G$5,A90+1,A90)</f>
        <v/>
      </c>
      <c r="B91" s="4">
        <f>IF(B90=CONFIG!$G$6,CONFIG!$G$5,CONFIG!$G$6)</f>
        <v/>
      </c>
      <c r="C91" s="4" t="n"/>
      <c r="D91" s="4" t="n"/>
      <c r="E91" s="9" t="n"/>
      <c r="F91" s="9" t="n"/>
      <c r="G91" s="9" t="n"/>
      <c r="H91" s="9">
        <f>IF(OR(E91&gt;0,F91&gt;0,G91&gt;0),SUM(E91:G91),"")</f>
        <v/>
      </c>
      <c r="I91" s="4" t="n"/>
      <c r="J91" s="4" t="n"/>
    </row>
    <row r="92">
      <c r="A92" s="12">
        <f>IF(B92=CONFIG!$G$5,A91+1,A91)</f>
        <v/>
      </c>
      <c r="B92" s="4">
        <f>IF(B91=CONFIG!$G$6,CONFIG!$G$5,CONFIG!$G$6)</f>
        <v/>
      </c>
      <c r="C92" s="4" t="n"/>
      <c r="D92" s="4" t="n"/>
      <c r="E92" s="9" t="n"/>
      <c r="F92" s="9" t="n"/>
      <c r="G92" s="9" t="n"/>
      <c r="H92" s="9">
        <f>IF(OR(E92&gt;0,F92&gt;0,G92&gt;0),SUM(E92:G92),"")</f>
        <v/>
      </c>
      <c r="I92" s="4" t="n"/>
      <c r="J92" s="4" t="n"/>
    </row>
    <row r="93">
      <c r="A93" s="12">
        <f>IF(B93=CONFIG!$G$5,A92+1,A92)</f>
        <v/>
      </c>
      <c r="B93" s="4">
        <f>IF(B92=CONFIG!$G$6,CONFIG!$G$5,CONFIG!$G$6)</f>
        <v/>
      </c>
      <c r="C93" s="4" t="n"/>
      <c r="D93" s="4" t="n"/>
      <c r="E93" s="9" t="n"/>
      <c r="F93" s="9" t="n"/>
      <c r="G93" s="9" t="n"/>
      <c r="H93" s="9">
        <f>IF(OR(E93&gt;0,F93&gt;0,G93&gt;0),SUM(E93:G93),"")</f>
        <v/>
      </c>
      <c r="I93" s="4" t="n"/>
      <c r="J93" s="4" t="n"/>
    </row>
    <row r="94">
      <c r="A94" s="12">
        <f>IF(B94=CONFIG!$G$5,A93+1,A93)</f>
        <v/>
      </c>
      <c r="B94" s="4">
        <f>IF(B93=CONFIG!$G$6,CONFIG!$G$5,CONFIG!$G$6)</f>
        <v/>
      </c>
      <c r="C94" s="4" t="n"/>
      <c r="D94" s="4" t="n"/>
      <c r="E94" s="9" t="n"/>
      <c r="F94" s="9" t="n"/>
      <c r="G94" s="9" t="n"/>
      <c r="H94" s="9">
        <f>IF(OR(E94&gt;0,F94&gt;0,G94&gt;0),SUM(E94:G94),"")</f>
        <v/>
      </c>
      <c r="I94" s="4" t="n"/>
      <c r="J94" s="4" t="n"/>
    </row>
    <row r="95">
      <c r="A95" s="12">
        <f>IF(B95=CONFIG!$G$5,A94+1,A94)</f>
        <v/>
      </c>
      <c r="B95" s="4">
        <f>IF(B94=CONFIG!$G$6,CONFIG!$G$5,CONFIG!$G$6)</f>
        <v/>
      </c>
      <c r="C95" s="4" t="n"/>
      <c r="D95" s="4" t="n"/>
      <c r="E95" s="9" t="n"/>
      <c r="F95" s="9" t="n"/>
      <c r="G95" s="9" t="n"/>
      <c r="H95" s="9">
        <f>IF(OR(E95&gt;0,F95&gt;0,G95&gt;0),SUM(E95:G95),"")</f>
        <v/>
      </c>
      <c r="I95" s="4" t="n"/>
      <c r="J95" s="4" t="n"/>
    </row>
    <row r="96">
      <c r="A96" s="12">
        <f>IF(B96=CONFIG!$G$5,A95+1,A95)</f>
        <v/>
      </c>
      <c r="B96" s="4">
        <f>IF(B95=CONFIG!$G$6,CONFIG!$G$5,CONFIG!$G$6)</f>
        <v/>
      </c>
      <c r="C96" s="4" t="n"/>
      <c r="D96" s="4" t="n"/>
      <c r="E96" s="9" t="n"/>
      <c r="F96" s="9" t="n"/>
      <c r="G96" s="9" t="n"/>
      <c r="H96" s="9">
        <f>IF(OR(E96&gt;0,F96&gt;0,G96&gt;0),SUM(E96:G96),"")</f>
        <v/>
      </c>
      <c r="I96" s="4" t="n"/>
      <c r="J96" s="4" t="n"/>
    </row>
    <row r="97">
      <c r="A97" s="12">
        <f>IF(B97=CONFIG!$G$5,A96+1,A96)</f>
        <v/>
      </c>
      <c r="B97" s="4">
        <f>IF(B96=CONFIG!$G$6,CONFIG!$G$5,CONFIG!$G$6)</f>
        <v/>
      </c>
      <c r="C97" s="4" t="n"/>
      <c r="D97" s="4" t="n"/>
      <c r="E97" s="9" t="n"/>
      <c r="F97" s="9" t="n"/>
      <c r="G97" s="9" t="n"/>
      <c r="H97" s="9">
        <f>IF(OR(E97&gt;0,F97&gt;0,G97&gt;0),SUM(E97:G97),"")</f>
        <v/>
      </c>
      <c r="I97" s="4" t="n"/>
      <c r="J97" s="4" t="n"/>
    </row>
    <row r="98">
      <c r="A98" s="12">
        <f>IF(B98=CONFIG!$G$5,A97+1,A97)</f>
        <v/>
      </c>
      <c r="B98" s="4">
        <f>IF(B97=CONFIG!$G$6,CONFIG!$G$5,CONFIG!$G$6)</f>
        <v/>
      </c>
      <c r="C98" s="4" t="n"/>
      <c r="D98" s="4" t="n"/>
      <c r="E98" s="9" t="n"/>
      <c r="F98" s="9" t="n"/>
      <c r="G98" s="9" t="n"/>
      <c r="H98" s="9">
        <f>IF(OR(E98&gt;0,F98&gt;0,G98&gt;0),SUM(E98:G98),"")</f>
        <v/>
      </c>
      <c r="I98" s="4" t="n"/>
      <c r="J98" s="4" t="n"/>
    </row>
    <row r="99">
      <c r="A99" s="12">
        <f>IF(B99=CONFIG!$G$5,A98+1,A98)</f>
        <v/>
      </c>
      <c r="B99" s="4">
        <f>IF(B98=CONFIG!$G$6,CONFIG!$G$5,CONFIG!$G$6)</f>
        <v/>
      </c>
      <c r="C99" s="4" t="n"/>
      <c r="D99" s="4" t="n"/>
      <c r="E99" s="9" t="n"/>
      <c r="F99" s="9" t="n"/>
      <c r="G99" s="9" t="n"/>
      <c r="H99" s="9">
        <f>IF(OR(E99&gt;0,F99&gt;0,G99&gt;0),SUM(E99:G99),"")</f>
        <v/>
      </c>
      <c r="I99" s="4" t="n"/>
      <c r="J99" s="4" t="n"/>
    </row>
    <row r="100">
      <c r="A100" s="12">
        <f>IF(B100=CONFIG!$G$5,A99+1,A99)</f>
        <v/>
      </c>
      <c r="B100" s="4">
        <f>IF(B99=CONFIG!$G$6,CONFIG!$G$5,CONFIG!$G$6)</f>
        <v/>
      </c>
      <c r="C100" s="4" t="n"/>
      <c r="D100" s="4" t="n"/>
      <c r="E100" s="9" t="n"/>
      <c r="F100" s="9" t="n"/>
      <c r="G100" s="9" t="n"/>
      <c r="H100" s="9">
        <f>IF(OR(E100&gt;0,F100&gt;0,G100&gt;0),SUM(E100:G100),"")</f>
        <v/>
      </c>
      <c r="I100" s="4" t="n"/>
      <c r="J100" s="4" t="n"/>
    </row>
    <row r="101">
      <c r="A101" s="12">
        <f>IF(B101=CONFIG!$G$5,A100+1,A100)</f>
        <v/>
      </c>
      <c r="B101" s="4">
        <f>IF(B100=CONFIG!$G$6,CONFIG!$G$5,CONFIG!$G$6)</f>
        <v/>
      </c>
      <c r="C101" s="4" t="n"/>
      <c r="D101" s="4" t="n"/>
      <c r="E101" s="9" t="n"/>
      <c r="F101" s="9" t="n"/>
      <c r="G101" s="9" t="n"/>
      <c r="H101" s="9">
        <f>IF(OR(E101&gt;0,F101&gt;0,G101&gt;0),SUM(E101:G101),"")</f>
        <v/>
      </c>
      <c r="I101" s="4" t="n"/>
      <c r="J101" s="4" t="n"/>
    </row>
    <row r="102">
      <c r="A102" s="12">
        <f>IF(B102=CONFIG!$G$5,A101+1,A101)</f>
        <v/>
      </c>
      <c r="B102" s="4">
        <f>IF(B101=CONFIG!$G$6,CONFIG!$G$5,CONFIG!$G$6)</f>
        <v/>
      </c>
      <c r="C102" s="4" t="n"/>
      <c r="D102" s="4" t="n"/>
      <c r="E102" s="9" t="n"/>
      <c r="F102" s="9" t="n"/>
      <c r="G102" s="9" t="n"/>
      <c r="H102" s="9">
        <f>IF(OR(E102&gt;0,F102&gt;0,G102&gt;0),SUM(E102:G102),"")</f>
        <v/>
      </c>
      <c r="I102" s="4" t="n"/>
      <c r="J102" s="4" t="n"/>
    </row>
    <row r="103">
      <c r="A103" s="12">
        <f>IF(B103=CONFIG!$G$5,A102+1,A102)</f>
        <v/>
      </c>
      <c r="B103" s="4">
        <f>IF(B102=CONFIG!$G$6,CONFIG!$G$5,CONFIG!$G$6)</f>
        <v/>
      </c>
      <c r="C103" s="4" t="n"/>
      <c r="D103" s="4" t="n"/>
      <c r="E103" s="9" t="n"/>
      <c r="F103" s="9" t="n"/>
      <c r="G103" s="9" t="n"/>
      <c r="H103" s="9">
        <f>IF(OR(E103&gt;0,F103&gt;0,G103&gt;0),SUM(E103:G103),"")</f>
        <v/>
      </c>
      <c r="I103" s="4" t="n"/>
      <c r="J103" s="4" t="n"/>
    </row>
    <row r="104">
      <c r="A104" s="12">
        <f>IF(B104=CONFIG!$G$5,A103+1,A103)</f>
        <v/>
      </c>
      <c r="B104" s="4">
        <f>IF(B103=CONFIG!$G$6,CONFIG!$G$5,CONFIG!$G$6)</f>
        <v/>
      </c>
      <c r="C104" s="4" t="n"/>
      <c r="D104" s="4" t="n"/>
      <c r="E104" s="9" t="n"/>
      <c r="F104" s="9" t="n"/>
      <c r="G104" s="9" t="n"/>
      <c r="H104" s="9">
        <f>IF(OR(E104&gt;0,F104&gt;0,G104&gt;0),SUM(E104:G104),"")</f>
        <v/>
      </c>
      <c r="I104" s="4" t="n"/>
      <c r="J104" s="4" t="n"/>
    </row>
    <row r="105">
      <c r="A105" s="12">
        <f>IF(B105=CONFIG!$G$5,A104+1,A104)</f>
        <v/>
      </c>
      <c r="B105" s="4">
        <f>IF(B104=CONFIG!$G$6,CONFIG!$G$5,CONFIG!$G$6)</f>
        <v/>
      </c>
      <c r="C105" s="4" t="n"/>
      <c r="D105" s="4" t="n"/>
      <c r="E105" s="9" t="n"/>
      <c r="F105" s="9" t="n"/>
      <c r="G105" s="9" t="n"/>
      <c r="H105" s="9">
        <f>IF(OR(E105&gt;0,F105&gt;0,G105&gt;0),SUM(E105:G105),"")</f>
        <v/>
      </c>
      <c r="I105" s="4" t="n"/>
      <c r="J105" s="4" t="n"/>
    </row>
    <row r="106">
      <c r="A106" s="12">
        <f>IF(B106=CONFIG!$G$5,A105+1,A105)</f>
        <v/>
      </c>
      <c r="B106" s="4">
        <f>IF(B105=CONFIG!$G$6,CONFIG!$G$5,CONFIG!$G$6)</f>
        <v/>
      </c>
      <c r="C106" s="4" t="n"/>
      <c r="D106" s="4" t="n"/>
      <c r="E106" s="9" t="n"/>
      <c r="F106" s="9" t="n"/>
      <c r="G106" s="9" t="n"/>
      <c r="H106" s="9">
        <f>IF(OR(E106&gt;0,F106&gt;0,G106&gt;0),SUM(E106:G106),"")</f>
        <v/>
      </c>
      <c r="I106" s="4" t="n"/>
      <c r="J106" s="4" t="n"/>
    </row>
    <row r="107">
      <c r="A107" s="12">
        <f>IF(B107=CONFIG!$G$5,A106+1,A106)</f>
        <v/>
      </c>
      <c r="B107" s="4">
        <f>IF(B106=CONFIG!$G$6,CONFIG!$G$5,CONFIG!$G$6)</f>
        <v/>
      </c>
      <c r="C107" s="4" t="n"/>
      <c r="D107" s="4" t="n"/>
      <c r="E107" s="9" t="n"/>
      <c r="F107" s="9" t="n"/>
      <c r="G107" s="9" t="n"/>
      <c r="H107" s="9">
        <f>IF(OR(E107&gt;0,F107&gt;0,G107&gt;0),SUM(E107:G107),"")</f>
        <v/>
      </c>
      <c r="I107" s="4" t="n"/>
      <c r="J107" s="4" t="n"/>
    </row>
    <row r="108">
      <c r="A108" s="12">
        <f>IF(B108=CONFIG!$G$5,A107+1,A107)</f>
        <v/>
      </c>
      <c r="B108" s="4">
        <f>IF(B107=CONFIG!$G$6,CONFIG!$G$5,CONFIG!$G$6)</f>
        <v/>
      </c>
      <c r="C108" s="4" t="n"/>
      <c r="D108" s="4" t="n"/>
      <c r="E108" s="9" t="n"/>
      <c r="F108" s="9" t="n"/>
      <c r="G108" s="9" t="n"/>
      <c r="H108" s="9">
        <f>IF(OR(E108&gt;0,F108&gt;0,G108&gt;0),SUM(E108:G108),"")</f>
        <v/>
      </c>
      <c r="I108" s="4" t="n"/>
      <c r="J108" s="4" t="n"/>
    </row>
    <row r="109">
      <c r="A109" s="12">
        <f>IF(B109=CONFIG!$G$5,A108+1,A108)</f>
        <v/>
      </c>
      <c r="B109" s="4">
        <f>IF(B108=CONFIG!$G$6,CONFIG!$G$5,CONFIG!$G$6)</f>
        <v/>
      </c>
      <c r="C109" s="4" t="n"/>
      <c r="D109" s="4" t="n"/>
      <c r="E109" s="9" t="n"/>
      <c r="F109" s="9" t="n"/>
      <c r="G109" s="9" t="n"/>
      <c r="H109" s="9">
        <f>IF(OR(E109&gt;0,F109&gt;0,G109&gt;0),SUM(E109:G109),"")</f>
        <v/>
      </c>
      <c r="I109" s="4" t="n"/>
      <c r="J109" s="4" t="n"/>
    </row>
    <row r="110">
      <c r="A110" s="12">
        <f>IF(B110=CONFIG!$G$5,A109+1,A109)</f>
        <v/>
      </c>
      <c r="B110" s="4">
        <f>IF(B109=CONFIG!$G$6,CONFIG!$G$5,CONFIG!$G$6)</f>
        <v/>
      </c>
      <c r="C110" s="4" t="n"/>
      <c r="D110" s="4" t="n"/>
      <c r="E110" s="9" t="n"/>
      <c r="F110" s="9" t="n"/>
      <c r="G110" s="9" t="n"/>
      <c r="H110" s="9">
        <f>IF(OR(E110&gt;0,F110&gt;0,G110&gt;0),SUM(E110:G110),"")</f>
        <v/>
      </c>
      <c r="I110" s="4" t="n"/>
      <c r="J110" s="4" t="n"/>
    </row>
    <row r="111">
      <c r="A111" s="12">
        <f>IF(B111=CONFIG!$G$5,A110+1,A110)</f>
        <v/>
      </c>
      <c r="B111" s="4">
        <f>IF(B110=CONFIG!$G$6,CONFIG!$G$5,CONFIG!$G$6)</f>
        <v/>
      </c>
      <c r="C111" s="4" t="n"/>
      <c r="D111" s="4" t="n"/>
      <c r="E111" s="9" t="n"/>
      <c r="F111" s="9" t="n"/>
      <c r="G111" s="9" t="n"/>
      <c r="H111" s="9">
        <f>IF(OR(E111&gt;0,F111&gt;0,G111&gt;0),SUM(E111:G111),"")</f>
        <v/>
      </c>
      <c r="I111" s="4" t="n"/>
      <c r="J111" s="4" t="n"/>
    </row>
    <row r="112">
      <c r="A112" s="12">
        <f>IF(B112=CONFIG!$G$5,A111+1,A111)</f>
        <v/>
      </c>
      <c r="B112" s="4">
        <f>IF(B111=CONFIG!$G$6,CONFIG!$G$5,CONFIG!$G$6)</f>
        <v/>
      </c>
      <c r="C112" s="4" t="n"/>
      <c r="D112" s="4" t="n"/>
      <c r="E112" s="9" t="n"/>
      <c r="F112" s="9" t="n"/>
      <c r="G112" s="9" t="n"/>
      <c r="H112" s="9">
        <f>IF(OR(E112&gt;0,F112&gt;0,G112&gt;0),SUM(E112:G112),"")</f>
        <v/>
      </c>
      <c r="I112" s="4" t="n"/>
      <c r="J112" s="4" t="n"/>
    </row>
    <row r="113">
      <c r="A113" s="12">
        <f>IF(B113=CONFIG!$G$5,A112+1,A112)</f>
        <v/>
      </c>
      <c r="B113" s="4">
        <f>IF(B112=CONFIG!$G$6,CONFIG!$G$5,CONFIG!$G$6)</f>
        <v/>
      </c>
      <c r="C113" s="4" t="n"/>
      <c r="D113" s="4" t="n"/>
      <c r="E113" s="9" t="n"/>
      <c r="F113" s="9" t="n"/>
      <c r="G113" s="9" t="n"/>
      <c r="H113" s="9">
        <f>IF(OR(E113&gt;0,F113&gt;0,G113&gt;0),SUM(E113:G113),"")</f>
        <v/>
      </c>
      <c r="I113" s="4" t="n"/>
      <c r="J113" s="4" t="n"/>
    </row>
    <row r="114">
      <c r="A114" s="12">
        <f>IF(B114=CONFIG!$G$5,A113+1,A113)</f>
        <v/>
      </c>
      <c r="B114" s="4">
        <f>IF(B113=CONFIG!$G$6,CONFIG!$G$5,CONFIG!$G$6)</f>
        <v/>
      </c>
      <c r="C114" s="4" t="n"/>
      <c r="D114" s="4" t="n"/>
      <c r="E114" s="9" t="n"/>
      <c r="F114" s="9" t="n"/>
      <c r="G114" s="9" t="n"/>
      <c r="H114" s="9">
        <f>IF(OR(E114&gt;0,F114&gt;0,G114&gt;0),SUM(E114:G114),"")</f>
        <v/>
      </c>
      <c r="I114" s="4" t="n"/>
      <c r="J114" s="4" t="n"/>
    </row>
    <row r="115">
      <c r="A115" s="12">
        <f>IF(B115=CONFIG!$G$5,A114+1,A114)</f>
        <v/>
      </c>
      <c r="B115" s="4">
        <f>IF(B114=CONFIG!$G$6,CONFIG!$G$5,CONFIG!$G$6)</f>
        <v/>
      </c>
      <c r="C115" s="4" t="n"/>
      <c r="D115" s="4" t="n"/>
      <c r="E115" s="9" t="n"/>
      <c r="F115" s="9" t="n"/>
      <c r="G115" s="9" t="n"/>
      <c r="H115" s="9">
        <f>IF(OR(E115&gt;0,F115&gt;0,G115&gt;0),SUM(E115:G115),"")</f>
        <v/>
      </c>
      <c r="I115" s="4" t="n"/>
      <c r="J115" s="4" t="n"/>
    </row>
    <row r="116">
      <c r="A116" s="12">
        <f>IF(B116=CONFIG!$G$5,A115+1,A115)</f>
        <v/>
      </c>
      <c r="B116" s="4">
        <f>IF(B115=CONFIG!$G$6,CONFIG!$G$5,CONFIG!$G$6)</f>
        <v/>
      </c>
      <c r="C116" s="4" t="n"/>
      <c r="D116" s="4" t="n"/>
      <c r="E116" s="9" t="n"/>
      <c r="F116" s="9" t="n"/>
      <c r="G116" s="9" t="n"/>
      <c r="H116" s="9">
        <f>IF(OR(E116&gt;0,F116&gt;0,G116&gt;0),SUM(E116:G116),"")</f>
        <v/>
      </c>
      <c r="I116" s="4" t="n"/>
      <c r="J116" s="4" t="n"/>
    </row>
    <row r="117">
      <c r="A117" s="12">
        <f>IF(B117=CONFIG!$G$5,A116+1,A116)</f>
        <v/>
      </c>
      <c r="B117" s="4">
        <f>IF(B116=CONFIG!$G$6,CONFIG!$G$5,CONFIG!$G$6)</f>
        <v/>
      </c>
      <c r="C117" s="4" t="n"/>
      <c r="D117" s="4" t="n"/>
      <c r="E117" s="9" t="n"/>
      <c r="F117" s="9" t="n"/>
      <c r="G117" s="9" t="n"/>
      <c r="H117" s="9">
        <f>IF(OR(E117&gt;0,F117&gt;0,G117&gt;0),SUM(E117:G117),"")</f>
        <v/>
      </c>
      <c r="I117" s="4" t="n"/>
      <c r="J117" s="4" t="n"/>
    </row>
    <row r="118">
      <c r="A118" s="12">
        <f>IF(B118=CONFIG!$G$5,A117+1,A117)</f>
        <v/>
      </c>
      <c r="B118" s="4">
        <f>IF(B117=CONFIG!$G$6,CONFIG!$G$5,CONFIG!$G$6)</f>
        <v/>
      </c>
      <c r="C118" s="4" t="n"/>
      <c r="D118" s="4" t="n"/>
      <c r="E118" s="9" t="n"/>
      <c r="F118" s="9" t="n"/>
      <c r="G118" s="9" t="n"/>
      <c r="H118" s="9">
        <f>IF(OR(E118&gt;0,F118&gt;0,G118&gt;0),SUM(E118:G118),"")</f>
        <v/>
      </c>
      <c r="I118" s="4" t="n"/>
      <c r="J118" s="4" t="n"/>
    </row>
    <row r="119">
      <c r="A119" s="12">
        <f>IF(B119=CONFIG!$G$5,A118+1,A118)</f>
        <v/>
      </c>
      <c r="B119" s="4">
        <f>IF(B118=CONFIG!$G$6,CONFIG!$G$5,CONFIG!$G$6)</f>
        <v/>
      </c>
      <c r="C119" s="4" t="n"/>
      <c r="D119" s="4" t="n"/>
      <c r="E119" s="9" t="n"/>
      <c r="F119" s="9" t="n"/>
      <c r="G119" s="9" t="n"/>
      <c r="H119" s="9">
        <f>IF(OR(E119&gt;0,F119&gt;0,G119&gt;0),SUM(E119:G119),"")</f>
        <v/>
      </c>
      <c r="I119" s="4" t="n"/>
      <c r="J119" s="4" t="n"/>
    </row>
    <row r="120">
      <c r="A120" s="12">
        <f>IF(B120=CONFIG!$G$5,A119+1,A119)</f>
        <v/>
      </c>
      <c r="B120" s="4">
        <f>IF(B119=CONFIG!$G$6,CONFIG!$G$5,CONFIG!$G$6)</f>
        <v/>
      </c>
      <c r="C120" s="4" t="n"/>
      <c r="D120" s="4" t="n"/>
      <c r="E120" s="9" t="n"/>
      <c r="F120" s="9" t="n"/>
      <c r="G120" s="9" t="n"/>
      <c r="H120" s="9">
        <f>IF(OR(E120&gt;0,F120&gt;0,G120&gt;0),SUM(E120:G120),"")</f>
        <v/>
      </c>
      <c r="I120" s="4" t="n"/>
      <c r="J120" s="4" t="n"/>
    </row>
    <row r="121">
      <c r="A121" s="12">
        <f>IF(B121=CONFIG!$G$5,A120+1,A120)</f>
        <v/>
      </c>
      <c r="B121" s="4">
        <f>IF(B120=CONFIG!$G$6,CONFIG!$G$5,CONFIG!$G$6)</f>
        <v/>
      </c>
      <c r="C121" s="4" t="n"/>
      <c r="D121" s="4" t="n"/>
      <c r="E121" s="9" t="n"/>
      <c r="F121" s="9" t="n"/>
      <c r="G121" s="9" t="n"/>
      <c r="H121" s="9">
        <f>IF(OR(E121&gt;0,F121&gt;0,G121&gt;0),SUM(E121:G121),"")</f>
        <v/>
      </c>
      <c r="I121" s="4" t="n"/>
      <c r="J121" s="4" t="n"/>
    </row>
    <row r="122">
      <c r="A122" s="12">
        <f>IF(B122=CONFIG!$G$5,A121+1,A121)</f>
        <v/>
      </c>
      <c r="B122" s="4">
        <f>IF(B121=CONFIG!$G$6,CONFIG!$G$5,CONFIG!$G$6)</f>
        <v/>
      </c>
      <c r="C122" s="4" t="n"/>
      <c r="D122" s="4" t="n"/>
      <c r="E122" s="9" t="n"/>
      <c r="F122" s="9" t="n"/>
      <c r="G122" s="9" t="n"/>
      <c r="H122" s="9">
        <f>IF(OR(E122&gt;0,F122&gt;0,G122&gt;0),SUM(E122:G122),"")</f>
        <v/>
      </c>
      <c r="I122" s="4" t="n"/>
      <c r="J122" s="4" t="n"/>
    </row>
    <row r="123">
      <c r="A123" s="12">
        <f>IF(B123=CONFIG!$G$5,A122+1,A122)</f>
        <v/>
      </c>
      <c r="B123" s="4">
        <f>IF(B122=CONFIG!$G$6,CONFIG!$G$5,CONFIG!$G$6)</f>
        <v/>
      </c>
      <c r="C123" s="4" t="n"/>
      <c r="D123" s="4" t="n"/>
      <c r="E123" s="9" t="n"/>
      <c r="F123" s="9" t="n"/>
      <c r="G123" s="9" t="n"/>
      <c r="H123" s="9">
        <f>IF(OR(E123&gt;0,F123&gt;0,G123&gt;0),SUM(E123:G123),"")</f>
        <v/>
      </c>
      <c r="I123" s="4" t="n"/>
      <c r="J123" s="4" t="n"/>
    </row>
    <row r="124">
      <c r="A124" s="12">
        <f>IF(B124=CONFIG!$G$5,A123+1,A123)</f>
        <v/>
      </c>
      <c r="B124" s="4">
        <f>IF(B123=CONFIG!$G$6,CONFIG!$G$5,CONFIG!$G$6)</f>
        <v/>
      </c>
      <c r="C124" s="4" t="n"/>
      <c r="D124" s="4" t="n"/>
      <c r="E124" s="9" t="n"/>
      <c r="F124" s="9" t="n"/>
      <c r="G124" s="9" t="n"/>
      <c r="H124" s="9">
        <f>IF(OR(E124&gt;0,F124&gt;0,G124&gt;0),SUM(E124:G124),"")</f>
        <v/>
      </c>
      <c r="I124" s="4" t="n"/>
      <c r="J124" s="4" t="n"/>
    </row>
    <row r="125">
      <c r="A125" s="12">
        <f>IF(B125=CONFIG!$G$5,A124+1,A124)</f>
        <v/>
      </c>
      <c r="B125" s="4">
        <f>IF(B124=CONFIG!$G$6,CONFIG!$G$5,CONFIG!$G$6)</f>
        <v/>
      </c>
      <c r="C125" s="4" t="n"/>
      <c r="D125" s="4" t="n"/>
      <c r="E125" s="9" t="n"/>
      <c r="F125" s="9" t="n"/>
      <c r="G125" s="9" t="n"/>
      <c r="H125" s="9">
        <f>IF(OR(E125&gt;0,F125&gt;0,G125&gt;0),SUM(E125:G125),"")</f>
        <v/>
      </c>
      <c r="I125" s="4" t="n"/>
      <c r="J125" s="4" t="n"/>
    </row>
    <row r="126">
      <c r="A126" s="12">
        <f>IF(B126=CONFIG!$G$5,A125+1,A125)</f>
        <v/>
      </c>
      <c r="B126" s="4">
        <f>IF(B125=CONFIG!$G$6,CONFIG!$G$5,CONFIG!$G$6)</f>
        <v/>
      </c>
      <c r="C126" s="4" t="n"/>
      <c r="D126" s="4" t="n"/>
      <c r="E126" s="9" t="n"/>
      <c r="F126" s="9" t="n"/>
      <c r="G126" s="9" t="n"/>
      <c r="H126" s="9">
        <f>IF(OR(E126&gt;0,F126&gt;0,G126&gt;0),SUM(E126:G126),"")</f>
        <v/>
      </c>
      <c r="I126" s="4" t="n"/>
      <c r="J126" s="4" t="n"/>
    </row>
    <row r="127">
      <c r="A127" s="12">
        <f>IF(B127=CONFIG!$G$5,A126+1,A126)</f>
        <v/>
      </c>
      <c r="B127" s="4">
        <f>IF(B126=CONFIG!$G$6,CONFIG!$G$5,CONFIG!$G$6)</f>
        <v/>
      </c>
      <c r="C127" s="4" t="n"/>
      <c r="D127" s="4" t="n"/>
      <c r="E127" s="9" t="n"/>
      <c r="F127" s="9" t="n"/>
      <c r="G127" s="9" t="n"/>
      <c r="H127" s="9">
        <f>IF(OR(E127&gt;0,F127&gt;0,G127&gt;0),SUM(E127:G127),"")</f>
        <v/>
      </c>
      <c r="I127" s="4" t="n"/>
      <c r="J127" s="4" t="n"/>
    </row>
    <row r="128">
      <c r="A128" s="12">
        <f>IF(B128=CONFIG!$G$5,A127+1,A127)</f>
        <v/>
      </c>
      <c r="B128" s="4">
        <f>IF(B127=CONFIG!$G$6,CONFIG!$G$5,CONFIG!$G$6)</f>
        <v/>
      </c>
      <c r="C128" s="4" t="n"/>
      <c r="D128" s="4" t="n"/>
      <c r="E128" s="9" t="n"/>
      <c r="F128" s="9" t="n"/>
      <c r="G128" s="9" t="n"/>
      <c r="H128" s="9">
        <f>IF(OR(E128&gt;0,F128&gt;0,G128&gt;0),SUM(E128:G128),"")</f>
        <v/>
      </c>
      <c r="I128" s="4" t="n"/>
      <c r="J128" s="4" t="n"/>
    </row>
    <row r="129">
      <c r="A129" s="12">
        <f>IF(B129=CONFIG!$G$5,A128+1,A128)</f>
        <v/>
      </c>
      <c r="B129" s="4">
        <f>IF(B128=CONFIG!$G$6,CONFIG!$G$5,CONFIG!$G$6)</f>
        <v/>
      </c>
      <c r="C129" s="4" t="n"/>
      <c r="D129" s="4" t="n"/>
      <c r="E129" s="9" t="n"/>
      <c r="F129" s="9" t="n"/>
      <c r="G129" s="9" t="n"/>
      <c r="H129" s="9">
        <f>IF(OR(E129&gt;0,F129&gt;0,G129&gt;0),SUM(E129:G129),"")</f>
        <v/>
      </c>
      <c r="I129" s="4" t="n"/>
      <c r="J129" s="4" t="n"/>
    </row>
    <row r="130">
      <c r="A130" s="12">
        <f>IF(B130=CONFIG!$G$5,A129+1,A129)</f>
        <v/>
      </c>
      <c r="B130" s="4">
        <f>IF(B129=CONFIG!$G$6,CONFIG!$G$5,CONFIG!$G$6)</f>
        <v/>
      </c>
      <c r="C130" s="4" t="n"/>
      <c r="D130" s="4" t="n"/>
      <c r="E130" s="9" t="n"/>
      <c r="F130" s="9" t="n"/>
      <c r="G130" s="9" t="n"/>
      <c r="H130" s="9">
        <f>IF(OR(E130&gt;0,F130&gt;0,G130&gt;0),SUM(E130:G130),"")</f>
        <v/>
      </c>
      <c r="I130" s="4" t="n"/>
      <c r="J130" s="4" t="n"/>
    </row>
    <row r="131">
      <c r="A131" s="12">
        <f>IF(B131=CONFIG!$G$5,A130+1,A130)</f>
        <v/>
      </c>
      <c r="B131" s="4">
        <f>IF(B130=CONFIG!$G$6,CONFIG!$G$5,CONFIG!$G$6)</f>
        <v/>
      </c>
      <c r="C131" s="4" t="n"/>
      <c r="D131" s="4" t="n"/>
      <c r="E131" s="9" t="n"/>
      <c r="F131" s="9" t="n"/>
      <c r="G131" s="9" t="n"/>
      <c r="H131" s="9">
        <f>IF(OR(E131&gt;0,F131&gt;0,G131&gt;0),SUM(E131:G131),"")</f>
        <v/>
      </c>
      <c r="I131" s="4" t="n"/>
      <c r="J131" s="4" t="n"/>
    </row>
    <row r="132">
      <c r="A132" s="12">
        <f>IF(B132=CONFIG!$G$5,A131+1,A131)</f>
        <v/>
      </c>
      <c r="B132" s="4">
        <f>IF(B131=CONFIG!$G$6,CONFIG!$G$5,CONFIG!$G$6)</f>
        <v/>
      </c>
      <c r="C132" s="4" t="n"/>
      <c r="D132" s="4" t="n"/>
      <c r="E132" s="9" t="n"/>
      <c r="F132" s="9" t="n"/>
      <c r="G132" s="9" t="n"/>
      <c r="H132" s="9">
        <f>IF(OR(E132&gt;0,F132&gt;0,G132&gt;0),SUM(E132:G132),"")</f>
        <v/>
      </c>
      <c r="I132" s="4" t="n"/>
      <c r="J132" s="4" t="n"/>
    </row>
    <row r="133">
      <c r="A133" s="12">
        <f>IF(B133=CONFIG!$G$5,A132+1,A132)</f>
        <v/>
      </c>
      <c r="B133" s="4">
        <f>IF(B132=CONFIG!$G$6,CONFIG!$G$5,CONFIG!$G$6)</f>
        <v/>
      </c>
      <c r="C133" s="4" t="n"/>
      <c r="D133" s="4" t="n"/>
      <c r="E133" s="9" t="n"/>
      <c r="F133" s="9" t="n"/>
      <c r="G133" s="9" t="n"/>
      <c r="H133" s="9">
        <f>IF(OR(E133&gt;0,F133&gt;0,G133&gt;0),SUM(E133:G133),"")</f>
        <v/>
      </c>
      <c r="I133" s="4" t="n"/>
      <c r="J133" s="4" t="n"/>
    </row>
    <row r="134">
      <c r="A134" s="12">
        <f>IF(B134=CONFIG!$G$5,A133+1,A133)</f>
        <v/>
      </c>
      <c r="B134" s="4">
        <f>IF(B133=CONFIG!$G$6,CONFIG!$G$5,CONFIG!$G$6)</f>
        <v/>
      </c>
      <c r="C134" s="4" t="n"/>
      <c r="D134" s="4" t="n"/>
      <c r="E134" s="9" t="n"/>
      <c r="F134" s="9" t="n"/>
      <c r="G134" s="9" t="n"/>
      <c r="H134" s="9">
        <f>IF(OR(E134&gt;0,F134&gt;0,G134&gt;0),SUM(E134:G134),"")</f>
        <v/>
      </c>
      <c r="I134" s="4" t="n"/>
      <c r="J134" s="4" t="n"/>
    </row>
    <row r="135">
      <c r="A135" s="12">
        <f>IF(B135=CONFIG!$G$5,A134+1,A134)</f>
        <v/>
      </c>
      <c r="B135" s="4">
        <f>IF(B134=CONFIG!$G$6,CONFIG!$G$5,CONFIG!$G$6)</f>
        <v/>
      </c>
      <c r="C135" s="4" t="n"/>
      <c r="D135" s="4" t="n"/>
      <c r="E135" s="9" t="n"/>
      <c r="F135" s="9" t="n"/>
      <c r="G135" s="9" t="n"/>
      <c r="H135" s="9">
        <f>IF(OR(E135&gt;0,F135&gt;0,G135&gt;0),SUM(E135:G135),"")</f>
        <v/>
      </c>
      <c r="I135" s="4" t="n"/>
      <c r="J135" s="4" t="n"/>
    </row>
    <row r="136">
      <c r="A136" s="12">
        <f>IF(B136=CONFIG!$G$5,A135+1,A135)</f>
        <v/>
      </c>
      <c r="B136" s="4">
        <f>IF(B135=CONFIG!$G$6,CONFIG!$G$5,CONFIG!$G$6)</f>
        <v/>
      </c>
      <c r="C136" s="4" t="n"/>
      <c r="D136" s="4" t="n"/>
      <c r="E136" s="9" t="n"/>
      <c r="F136" s="9" t="n"/>
      <c r="G136" s="9" t="n"/>
      <c r="H136" s="9">
        <f>IF(OR(E136&gt;0,F136&gt;0,G136&gt;0),SUM(E136:G136),"")</f>
        <v/>
      </c>
      <c r="I136" s="4" t="n"/>
      <c r="J136" s="4" t="n"/>
    </row>
    <row r="137">
      <c r="A137" s="12">
        <f>IF(B137=CONFIG!$G$5,A136+1,A136)</f>
        <v/>
      </c>
      <c r="B137" s="4">
        <f>IF(B136=CONFIG!$G$6,CONFIG!$G$5,CONFIG!$G$6)</f>
        <v/>
      </c>
      <c r="C137" s="4" t="n"/>
      <c r="D137" s="4" t="n"/>
      <c r="E137" s="9" t="n"/>
      <c r="F137" s="9" t="n"/>
      <c r="G137" s="9" t="n"/>
      <c r="H137" s="9">
        <f>IF(OR(E137&gt;0,F137&gt;0,G137&gt;0),SUM(E137:G137),"")</f>
        <v/>
      </c>
      <c r="I137" s="4" t="n"/>
      <c r="J137" s="4" t="n"/>
    </row>
    <row r="138">
      <c r="A138" s="12">
        <f>IF(B138=CONFIG!$G$5,A137+1,A137)</f>
        <v/>
      </c>
      <c r="B138" s="4">
        <f>IF(B137=CONFIG!$G$6,CONFIG!$G$5,CONFIG!$G$6)</f>
        <v/>
      </c>
      <c r="C138" s="4" t="n"/>
      <c r="D138" s="4" t="n"/>
      <c r="E138" s="9" t="n"/>
      <c r="F138" s="9" t="n"/>
      <c r="G138" s="9" t="n"/>
      <c r="H138" s="9">
        <f>IF(OR(E138&gt;0,F138&gt;0,G138&gt;0),SUM(E138:G138),"")</f>
        <v/>
      </c>
      <c r="I138" s="4" t="n"/>
      <c r="J138" s="4" t="n"/>
    </row>
    <row r="139">
      <c r="A139" s="12">
        <f>IF(B139=CONFIG!$G$5,A138+1,A138)</f>
        <v/>
      </c>
      <c r="B139" s="4">
        <f>IF(B138=CONFIG!$G$6,CONFIG!$G$5,CONFIG!$G$6)</f>
        <v/>
      </c>
      <c r="C139" s="4" t="n"/>
      <c r="D139" s="4" t="n"/>
      <c r="E139" s="9" t="n"/>
      <c r="F139" s="9" t="n"/>
      <c r="G139" s="9" t="n"/>
      <c r="H139" s="9">
        <f>IF(OR(E139&gt;0,F139&gt;0,G139&gt;0),SUM(E139:G139),"")</f>
        <v/>
      </c>
      <c r="I139" s="4" t="n"/>
      <c r="J139" s="4" t="n"/>
    </row>
    <row r="140">
      <c r="A140" s="12">
        <f>IF(B140=CONFIG!$G$5,A139+1,A139)</f>
        <v/>
      </c>
      <c r="B140" s="4">
        <f>IF(B139=CONFIG!$G$6,CONFIG!$G$5,CONFIG!$G$6)</f>
        <v/>
      </c>
      <c r="C140" s="4" t="n"/>
      <c r="D140" s="4" t="n"/>
      <c r="E140" s="9" t="n"/>
      <c r="F140" s="9" t="n"/>
      <c r="G140" s="9" t="n"/>
      <c r="H140" s="9">
        <f>IF(OR(E140&gt;0,F140&gt;0,G140&gt;0),SUM(E140:G140),"")</f>
        <v/>
      </c>
      <c r="I140" s="4" t="n"/>
      <c r="J140" s="4" t="n"/>
    </row>
    <row r="141">
      <c r="A141" s="12">
        <f>IF(B141=CONFIG!$G$5,A140+1,A140)</f>
        <v/>
      </c>
      <c r="B141" s="4">
        <f>IF(B140=CONFIG!$G$6,CONFIG!$G$5,CONFIG!$G$6)</f>
        <v/>
      </c>
      <c r="C141" s="4" t="n"/>
      <c r="D141" s="4" t="n"/>
      <c r="E141" s="9" t="n"/>
      <c r="F141" s="9" t="n"/>
      <c r="G141" s="9" t="n"/>
      <c r="H141" s="9">
        <f>IF(OR(E141&gt;0,F141&gt;0,G141&gt;0),SUM(E141:G141),"")</f>
        <v/>
      </c>
      <c r="I141" s="4" t="n"/>
      <c r="J141" s="4" t="n"/>
    </row>
    <row r="142">
      <c r="A142" s="12">
        <f>IF(B142=CONFIG!$G$5,A141+1,A141)</f>
        <v/>
      </c>
      <c r="B142" s="4">
        <f>IF(B141=CONFIG!$G$6,CONFIG!$G$5,CONFIG!$G$6)</f>
        <v/>
      </c>
      <c r="C142" s="4" t="n"/>
      <c r="D142" s="4" t="n"/>
      <c r="E142" s="9" t="n"/>
      <c r="F142" s="9" t="n"/>
      <c r="G142" s="9" t="n"/>
      <c r="H142" s="9">
        <f>IF(OR(E142&gt;0,F142&gt;0,G142&gt;0),SUM(E142:G142),"")</f>
        <v/>
      </c>
      <c r="I142" s="4" t="n"/>
      <c r="J142" s="4" t="n"/>
    </row>
    <row r="143">
      <c r="A143" s="12">
        <f>IF(B143=CONFIG!$G$5,A142+1,A142)</f>
        <v/>
      </c>
      <c r="B143" s="4">
        <f>IF(B142=CONFIG!$G$6,CONFIG!$G$5,CONFIG!$G$6)</f>
        <v/>
      </c>
      <c r="C143" s="4" t="n"/>
      <c r="D143" s="4" t="n"/>
      <c r="E143" s="9" t="n"/>
      <c r="F143" s="9" t="n"/>
      <c r="G143" s="9" t="n"/>
      <c r="H143" s="9">
        <f>IF(OR(E143&gt;0,F143&gt;0,G143&gt;0),SUM(E143:G143),"")</f>
        <v/>
      </c>
      <c r="I143" s="4" t="n"/>
      <c r="J143" s="4" t="n"/>
    </row>
    <row r="144">
      <c r="A144" s="12">
        <f>IF(B144=CONFIG!$G$5,A143+1,A143)</f>
        <v/>
      </c>
      <c r="B144" s="4">
        <f>IF(B143=CONFIG!$G$6,CONFIG!$G$5,CONFIG!$G$6)</f>
        <v/>
      </c>
      <c r="C144" s="4" t="n"/>
      <c r="D144" s="4" t="n"/>
      <c r="E144" s="9" t="n"/>
      <c r="F144" s="9" t="n"/>
      <c r="G144" s="9" t="n"/>
      <c r="H144" s="9">
        <f>IF(OR(E144&gt;0,F144&gt;0,G144&gt;0),SUM(E144:G144),"")</f>
        <v/>
      </c>
      <c r="I144" s="4" t="n"/>
      <c r="J144" s="4" t="n"/>
    </row>
    <row r="145">
      <c r="A145" s="12">
        <f>IF(B145=CONFIG!$G$5,A144+1,A144)</f>
        <v/>
      </c>
      <c r="B145" s="4">
        <f>IF(B144=CONFIG!$G$6,CONFIG!$G$5,CONFIG!$G$6)</f>
        <v/>
      </c>
      <c r="C145" s="4" t="n"/>
      <c r="D145" s="4" t="n"/>
      <c r="E145" s="9" t="n"/>
      <c r="F145" s="9" t="n"/>
      <c r="G145" s="9" t="n"/>
      <c r="H145" s="9">
        <f>IF(OR(E145&gt;0,F145&gt;0,G145&gt;0),SUM(E145:G145),"")</f>
        <v/>
      </c>
      <c r="I145" s="4" t="n"/>
      <c r="J145" s="4" t="n"/>
    </row>
    <row r="146">
      <c r="A146" s="12">
        <f>IF(B146=CONFIG!$G$5,A145+1,A145)</f>
        <v/>
      </c>
      <c r="B146" s="4">
        <f>IF(B145=CONFIG!$G$6,CONFIG!$G$5,CONFIG!$G$6)</f>
        <v/>
      </c>
      <c r="C146" s="4" t="n"/>
      <c r="D146" s="4" t="n"/>
      <c r="E146" s="9" t="n"/>
      <c r="F146" s="9" t="n"/>
      <c r="G146" s="9" t="n"/>
      <c r="H146" s="9">
        <f>IF(OR(E146&gt;0,F146&gt;0,G146&gt;0),SUM(E146:G146),"")</f>
        <v/>
      </c>
      <c r="I146" s="4" t="n"/>
      <c r="J146" s="4" t="n"/>
    </row>
    <row r="147">
      <c r="A147" s="12">
        <f>IF(B147=CONFIG!$G$5,A146+1,A146)</f>
        <v/>
      </c>
      <c r="B147" s="4">
        <f>IF(B146=CONFIG!$G$6,CONFIG!$G$5,CONFIG!$G$6)</f>
        <v/>
      </c>
      <c r="C147" s="4" t="n"/>
      <c r="D147" s="4" t="n"/>
      <c r="E147" s="9" t="n"/>
      <c r="F147" s="9" t="n"/>
      <c r="G147" s="9" t="n"/>
      <c r="H147" s="9">
        <f>IF(OR(E147&gt;0,F147&gt;0,G147&gt;0),SUM(E147:G147),"")</f>
        <v/>
      </c>
      <c r="I147" s="4" t="n"/>
      <c r="J147" s="4" t="n"/>
    </row>
    <row r="148">
      <c r="A148" s="12">
        <f>IF(B148=CONFIG!$G$5,A147+1,A147)</f>
        <v/>
      </c>
      <c r="B148" s="4">
        <f>IF(B147=CONFIG!$G$6,CONFIG!$G$5,CONFIG!$G$6)</f>
        <v/>
      </c>
      <c r="C148" s="4" t="n"/>
      <c r="D148" s="4" t="n"/>
      <c r="E148" s="9" t="n"/>
      <c r="F148" s="9" t="n"/>
      <c r="G148" s="9" t="n"/>
      <c r="H148" s="9">
        <f>IF(OR(E148&gt;0,F148&gt;0,G148&gt;0),SUM(E148:G148),"")</f>
        <v/>
      </c>
      <c r="I148" s="4" t="n"/>
      <c r="J148" s="4" t="n"/>
    </row>
    <row r="149">
      <c r="A149" s="12">
        <f>IF(B149=CONFIG!$G$5,A148+1,A148)</f>
        <v/>
      </c>
      <c r="B149" s="4">
        <f>IF(B148=CONFIG!$G$6,CONFIG!$G$5,CONFIG!$G$6)</f>
        <v/>
      </c>
      <c r="C149" s="4" t="n"/>
      <c r="D149" s="4" t="n"/>
      <c r="E149" s="9" t="n"/>
      <c r="F149" s="9" t="n"/>
      <c r="G149" s="9" t="n"/>
      <c r="H149" s="9">
        <f>IF(OR(E149&gt;0,F149&gt;0,G149&gt;0),SUM(E149:G149),"")</f>
        <v/>
      </c>
      <c r="I149" s="4" t="n"/>
      <c r="J149" s="4" t="n"/>
    </row>
    <row r="150">
      <c r="A150" s="12">
        <f>IF(B150=CONFIG!$G$5,A149+1,A149)</f>
        <v/>
      </c>
      <c r="B150" s="4">
        <f>IF(B149=CONFIG!$G$6,CONFIG!$G$5,CONFIG!$G$6)</f>
        <v/>
      </c>
      <c r="C150" s="4" t="n"/>
      <c r="D150" s="4" t="n"/>
      <c r="E150" s="9" t="n"/>
      <c r="F150" s="9" t="n"/>
      <c r="G150" s="9" t="n"/>
      <c r="H150" s="9">
        <f>IF(OR(E150&gt;0,F150&gt;0,G150&gt;0),SUM(E150:G150),"")</f>
        <v/>
      </c>
      <c r="I150" s="4" t="n"/>
      <c r="J150" s="4" t="n"/>
    </row>
    <row r="151">
      <c r="A151" s="12">
        <f>IF(B151=CONFIG!$G$5,A150+1,A150)</f>
        <v/>
      </c>
      <c r="B151" s="4">
        <f>IF(B150=CONFIG!$G$6,CONFIG!$G$5,CONFIG!$G$6)</f>
        <v/>
      </c>
      <c r="C151" s="4" t="n"/>
      <c r="D151" s="4" t="n"/>
      <c r="E151" s="9" t="n"/>
      <c r="F151" s="9" t="n"/>
      <c r="G151" s="9" t="n"/>
      <c r="H151" s="9">
        <f>IF(OR(E151&gt;0,F151&gt;0,G151&gt;0),SUM(E151:G151),"")</f>
        <v/>
      </c>
      <c r="I151" s="4" t="n"/>
      <c r="J151" s="4" t="n"/>
    </row>
    <row r="152">
      <c r="A152" s="12">
        <f>IF(B152=CONFIG!$G$5,A151+1,A151)</f>
        <v/>
      </c>
      <c r="B152" s="4">
        <f>IF(B151=CONFIG!$G$6,CONFIG!$G$5,CONFIG!$G$6)</f>
        <v/>
      </c>
      <c r="C152" s="4" t="n"/>
      <c r="D152" s="4" t="n"/>
      <c r="E152" s="9" t="n"/>
      <c r="F152" s="9" t="n"/>
      <c r="G152" s="9" t="n"/>
      <c r="H152" s="9">
        <f>IF(OR(E152&gt;0,F152&gt;0,G152&gt;0),SUM(E152:G152),"")</f>
        <v/>
      </c>
      <c r="I152" s="4" t="n"/>
      <c r="J152" s="4" t="n"/>
    </row>
    <row r="153">
      <c r="A153" s="12">
        <f>IF(B153=CONFIG!$G$5,A152+1,A152)</f>
        <v/>
      </c>
      <c r="B153" s="4">
        <f>IF(B152=CONFIG!$G$6,CONFIG!$G$5,CONFIG!$G$6)</f>
        <v/>
      </c>
      <c r="C153" s="4" t="n"/>
      <c r="D153" s="4" t="n"/>
      <c r="E153" s="9" t="n"/>
      <c r="F153" s="9" t="n"/>
      <c r="G153" s="9" t="n"/>
      <c r="H153" s="9">
        <f>IF(OR(E153&gt;0,F153&gt;0,G153&gt;0),SUM(E153:G153),"")</f>
        <v/>
      </c>
      <c r="I153" s="4" t="n"/>
      <c r="J153" s="4" t="n"/>
    </row>
    <row r="154">
      <c r="A154" s="12">
        <f>IF(B154=CONFIG!$G$5,A153+1,A153)</f>
        <v/>
      </c>
      <c r="B154" s="4">
        <f>IF(B153=CONFIG!$G$6,CONFIG!$G$5,CONFIG!$G$6)</f>
        <v/>
      </c>
      <c r="C154" s="4" t="n"/>
      <c r="D154" s="4" t="n"/>
      <c r="E154" s="9" t="n"/>
      <c r="F154" s="9" t="n"/>
      <c r="G154" s="9" t="n"/>
      <c r="H154" s="9">
        <f>IF(OR(E154&gt;0,F154&gt;0,G154&gt;0),SUM(E154:G154),"")</f>
        <v/>
      </c>
      <c r="I154" s="4" t="n"/>
      <c r="J154" s="4" t="n"/>
    </row>
    <row r="155">
      <c r="A155" s="12">
        <f>IF(B155=CONFIG!$G$5,A154+1,A154)</f>
        <v/>
      </c>
      <c r="B155" s="4">
        <f>IF(B154=CONFIG!$G$6,CONFIG!$G$5,CONFIG!$G$6)</f>
        <v/>
      </c>
      <c r="C155" s="4" t="n"/>
      <c r="D155" s="4" t="n"/>
      <c r="E155" s="9" t="n"/>
      <c r="F155" s="9" t="n"/>
      <c r="G155" s="9" t="n"/>
      <c r="H155" s="9">
        <f>IF(OR(E155&gt;0,F155&gt;0,G155&gt;0),SUM(E155:G155),"")</f>
        <v/>
      </c>
      <c r="I155" s="4" t="n"/>
      <c r="J155" s="4" t="n"/>
    </row>
    <row r="156">
      <c r="A156" s="12">
        <f>IF(B156=CONFIG!$G$5,A155+1,A155)</f>
        <v/>
      </c>
      <c r="B156" s="4">
        <f>IF(B155=CONFIG!$G$6,CONFIG!$G$5,CONFIG!$G$6)</f>
        <v/>
      </c>
      <c r="C156" s="4" t="n"/>
      <c r="D156" s="4" t="n"/>
      <c r="E156" s="9" t="n"/>
      <c r="F156" s="9" t="n"/>
      <c r="G156" s="9" t="n"/>
      <c r="H156" s="9">
        <f>IF(OR(E156&gt;0,F156&gt;0,G156&gt;0),SUM(E156:G156),"")</f>
        <v/>
      </c>
      <c r="I156" s="4" t="n"/>
      <c r="J156" s="4" t="n"/>
    </row>
    <row r="157">
      <c r="A157" s="12">
        <f>IF(B157=CONFIG!$G$5,A156+1,A156)</f>
        <v/>
      </c>
      <c r="B157" s="4">
        <f>IF(B156=CONFIG!$G$6,CONFIG!$G$5,CONFIG!$G$6)</f>
        <v/>
      </c>
      <c r="C157" s="4" t="n"/>
      <c r="D157" s="4" t="n"/>
      <c r="E157" s="9" t="n"/>
      <c r="F157" s="9" t="n"/>
      <c r="G157" s="9" t="n"/>
      <c r="H157" s="9">
        <f>IF(OR(E157&gt;0,F157&gt;0,G157&gt;0),SUM(E157:G157),"")</f>
        <v/>
      </c>
      <c r="I157" s="4" t="n"/>
      <c r="J157" s="4" t="n"/>
    </row>
    <row r="158">
      <c r="A158" s="12">
        <f>IF(B158=CONFIG!$G$5,A157+1,A157)</f>
        <v/>
      </c>
      <c r="B158" s="4">
        <f>IF(B157=CONFIG!$G$6,CONFIG!$G$5,CONFIG!$G$6)</f>
        <v/>
      </c>
      <c r="C158" s="4" t="n"/>
      <c r="D158" s="4" t="n"/>
      <c r="E158" s="9" t="n"/>
      <c r="F158" s="9" t="n"/>
      <c r="G158" s="9" t="n"/>
      <c r="H158" s="9">
        <f>IF(OR(E158&gt;0,F158&gt;0,G158&gt;0),SUM(E158:G158),"")</f>
        <v/>
      </c>
      <c r="I158" s="4" t="n"/>
      <c r="J158" s="4" t="n"/>
    </row>
    <row r="159">
      <c r="A159" s="12">
        <f>IF(B159=CONFIG!$G$5,A158+1,A158)</f>
        <v/>
      </c>
      <c r="B159" s="4">
        <f>IF(B158=CONFIG!$G$6,CONFIG!$G$5,CONFIG!$G$6)</f>
        <v/>
      </c>
      <c r="C159" s="4" t="n"/>
      <c r="D159" s="4" t="n"/>
      <c r="E159" s="9" t="n"/>
      <c r="F159" s="9" t="n"/>
      <c r="G159" s="9" t="n"/>
      <c r="H159" s="9">
        <f>IF(OR(E159&gt;0,F159&gt;0,G159&gt;0),SUM(E159:G159),"")</f>
        <v/>
      </c>
      <c r="I159" s="4" t="n"/>
      <c r="J159" s="4" t="n"/>
    </row>
    <row r="160">
      <c r="A160" s="12">
        <f>IF(B160=CONFIG!$G$5,A159+1,A159)</f>
        <v/>
      </c>
      <c r="B160" s="4">
        <f>IF(B159=CONFIG!$G$6,CONFIG!$G$5,CONFIG!$G$6)</f>
        <v/>
      </c>
      <c r="C160" s="4" t="n"/>
      <c r="D160" s="4" t="n"/>
      <c r="E160" s="9" t="n"/>
      <c r="F160" s="9" t="n"/>
      <c r="G160" s="9" t="n"/>
      <c r="H160" s="9">
        <f>IF(OR(E160&gt;0,F160&gt;0,G160&gt;0),SUM(E160:G160),"")</f>
        <v/>
      </c>
      <c r="I160" s="4" t="n"/>
      <c r="J160" s="4" t="n"/>
    </row>
    <row r="161">
      <c r="A161" s="12">
        <f>IF(B161=CONFIG!$G$5,A160+1,A160)</f>
        <v/>
      </c>
      <c r="B161" s="4">
        <f>IF(B160=CONFIG!$G$6,CONFIG!$G$5,CONFIG!$G$6)</f>
        <v/>
      </c>
      <c r="C161" s="4" t="n"/>
      <c r="D161" s="4" t="n"/>
      <c r="E161" s="9" t="n"/>
      <c r="F161" s="9" t="n"/>
      <c r="G161" s="9" t="n"/>
      <c r="H161" s="9">
        <f>IF(OR(E161&gt;0,F161&gt;0,G161&gt;0),SUM(E161:G161),"")</f>
        <v/>
      </c>
      <c r="I161" s="4" t="n"/>
      <c r="J161" s="4" t="n"/>
    </row>
    <row r="162">
      <c r="A162" s="12">
        <f>IF(B162=CONFIG!$G$5,A161+1,A161)</f>
        <v/>
      </c>
      <c r="B162" s="4">
        <f>IF(B161=CONFIG!$G$6,CONFIG!$G$5,CONFIG!$G$6)</f>
        <v/>
      </c>
      <c r="C162" s="4" t="n"/>
      <c r="D162" s="4" t="n"/>
      <c r="E162" s="9" t="n"/>
      <c r="F162" s="9" t="n"/>
      <c r="G162" s="9" t="n"/>
      <c r="H162" s="9">
        <f>IF(OR(E162&gt;0,F162&gt;0,G162&gt;0),SUM(E162:G162),"")</f>
        <v/>
      </c>
      <c r="I162" s="4" t="n"/>
      <c r="J162" s="4" t="n"/>
    </row>
    <row r="163">
      <c r="A163" s="12">
        <f>IF(B163=CONFIG!$G$5,A162+1,A162)</f>
        <v/>
      </c>
      <c r="B163" s="4">
        <f>IF(B162=CONFIG!$G$6,CONFIG!$G$5,CONFIG!$G$6)</f>
        <v/>
      </c>
      <c r="C163" s="4" t="n"/>
      <c r="D163" s="4" t="n"/>
      <c r="E163" s="9" t="n"/>
      <c r="F163" s="9" t="n"/>
      <c r="G163" s="9" t="n"/>
      <c r="H163" s="9">
        <f>IF(OR(E163&gt;0,F163&gt;0,G163&gt;0),SUM(E163:G163),"")</f>
        <v/>
      </c>
      <c r="I163" s="4" t="n"/>
      <c r="J163" s="4" t="n"/>
    </row>
    <row r="164">
      <c r="A164" s="12">
        <f>IF(B164=CONFIG!$G$5,A163+1,A163)</f>
        <v/>
      </c>
      <c r="B164" s="4">
        <f>IF(B163=CONFIG!$G$6,CONFIG!$G$5,CONFIG!$G$6)</f>
        <v/>
      </c>
      <c r="C164" s="4" t="n"/>
      <c r="D164" s="4" t="n"/>
      <c r="E164" s="9" t="n"/>
      <c r="F164" s="9" t="n"/>
      <c r="G164" s="9" t="n"/>
      <c r="H164" s="9">
        <f>IF(OR(E164&gt;0,F164&gt;0,G164&gt;0),SUM(E164:G164),"")</f>
        <v/>
      </c>
      <c r="I164" s="4" t="n"/>
      <c r="J164" s="4" t="n"/>
    </row>
    <row r="165">
      <c r="A165" s="12">
        <f>IF(B165=CONFIG!$G$5,A164+1,A164)</f>
        <v/>
      </c>
      <c r="B165" s="4">
        <f>IF(B164=CONFIG!$G$6,CONFIG!$G$5,CONFIG!$G$6)</f>
        <v/>
      </c>
      <c r="C165" s="4" t="n"/>
      <c r="D165" s="4" t="n"/>
      <c r="E165" s="9" t="n"/>
      <c r="F165" s="9" t="n"/>
      <c r="G165" s="9" t="n"/>
      <c r="H165" s="9">
        <f>IF(OR(E165&gt;0,F165&gt;0,G165&gt;0),SUM(E165:G165),"")</f>
        <v/>
      </c>
      <c r="I165" s="4" t="n"/>
      <c r="J165" s="4" t="n"/>
    </row>
    <row r="166">
      <c r="A166" s="12">
        <f>IF(B166=CONFIG!$G$5,A165+1,A165)</f>
        <v/>
      </c>
      <c r="B166" s="4">
        <f>IF(B165=CONFIG!$G$6,CONFIG!$G$5,CONFIG!$G$6)</f>
        <v/>
      </c>
      <c r="C166" s="4" t="n"/>
      <c r="D166" s="4" t="n"/>
      <c r="E166" s="9" t="n"/>
      <c r="F166" s="9" t="n"/>
      <c r="G166" s="9" t="n"/>
      <c r="H166" s="9">
        <f>IF(OR(E166&gt;0,F166&gt;0,G166&gt;0),SUM(E166:G166),"")</f>
        <v/>
      </c>
      <c r="I166" s="4" t="n"/>
      <c r="J166" s="4" t="n"/>
    </row>
    <row r="167">
      <c r="A167" s="12">
        <f>IF(B167=CONFIG!$G$5,A166+1,A166)</f>
        <v/>
      </c>
      <c r="B167" s="4">
        <f>IF(B166=CONFIG!$G$6,CONFIG!$G$5,CONFIG!$G$6)</f>
        <v/>
      </c>
      <c r="C167" s="4" t="n"/>
      <c r="D167" s="4" t="n"/>
      <c r="E167" s="9" t="n"/>
      <c r="F167" s="9" t="n"/>
      <c r="G167" s="9" t="n"/>
      <c r="H167" s="9">
        <f>IF(OR(E167&gt;0,F167&gt;0,G167&gt;0),SUM(E167:G167),"")</f>
        <v/>
      </c>
      <c r="I167" s="4" t="n"/>
      <c r="J167" s="4" t="n"/>
    </row>
    <row r="168">
      <c r="A168" s="12">
        <f>IF(B168=CONFIG!$G$5,A167+1,A167)</f>
        <v/>
      </c>
      <c r="B168" s="4">
        <f>IF(B167=CONFIG!$G$6,CONFIG!$G$5,CONFIG!$G$6)</f>
        <v/>
      </c>
      <c r="C168" s="4" t="n"/>
      <c r="D168" s="4" t="n"/>
      <c r="E168" s="9" t="n"/>
      <c r="F168" s="9" t="n"/>
      <c r="G168" s="9" t="n"/>
      <c r="H168" s="9">
        <f>IF(OR(E168&gt;0,F168&gt;0,G168&gt;0),SUM(E168:G168),"")</f>
        <v/>
      </c>
      <c r="I168" s="4" t="n"/>
      <c r="J168" s="4" t="n"/>
    </row>
    <row r="169">
      <c r="A169" s="12">
        <f>IF(B169=CONFIG!$G$5,A168+1,A168)</f>
        <v/>
      </c>
      <c r="B169" s="4">
        <f>IF(B168=CONFIG!$G$6,CONFIG!$G$5,CONFIG!$G$6)</f>
        <v/>
      </c>
      <c r="C169" s="4" t="n"/>
      <c r="D169" s="4" t="n"/>
      <c r="E169" s="9" t="n"/>
      <c r="F169" s="9" t="n"/>
      <c r="G169" s="9" t="n"/>
      <c r="H169" s="9">
        <f>IF(OR(E169&gt;0,F169&gt;0,G169&gt;0),SUM(E169:G169),"")</f>
        <v/>
      </c>
      <c r="I169" s="4" t="n"/>
      <c r="J169" s="4" t="n"/>
    </row>
    <row r="170">
      <c r="A170" s="12">
        <f>IF(B170=CONFIG!$G$5,A169+1,A169)</f>
        <v/>
      </c>
      <c r="B170" s="4">
        <f>IF(B169=CONFIG!$G$6,CONFIG!$G$5,CONFIG!$G$6)</f>
        <v/>
      </c>
      <c r="C170" s="4" t="n"/>
      <c r="D170" s="4" t="n"/>
      <c r="E170" s="9" t="n"/>
      <c r="F170" s="9" t="n"/>
      <c r="G170" s="9" t="n"/>
      <c r="H170" s="9">
        <f>IF(OR(E170&gt;0,F170&gt;0,G170&gt;0),SUM(E170:G170),"")</f>
        <v/>
      </c>
      <c r="I170" s="4" t="n"/>
      <c r="J170" s="4" t="n"/>
    </row>
    <row r="171">
      <c r="A171" s="12">
        <f>IF(B171=CONFIG!$G$5,A170+1,A170)</f>
        <v/>
      </c>
      <c r="B171" s="4">
        <f>IF(B170=CONFIG!$G$6,CONFIG!$G$5,CONFIG!$G$6)</f>
        <v/>
      </c>
      <c r="C171" s="4" t="n"/>
      <c r="D171" s="4" t="n"/>
      <c r="E171" s="9" t="n"/>
      <c r="F171" s="9" t="n"/>
      <c r="G171" s="9" t="n"/>
      <c r="H171" s="9">
        <f>IF(OR(E171&gt;0,F171&gt;0,G171&gt;0),SUM(E171:G171),"")</f>
        <v/>
      </c>
      <c r="I171" s="4" t="n"/>
      <c r="J171" s="4" t="n"/>
    </row>
    <row r="172">
      <c r="A172" s="12">
        <f>IF(B172=CONFIG!$G$5,A171+1,A171)</f>
        <v/>
      </c>
      <c r="B172" s="4">
        <f>IF(B171=CONFIG!$G$6,CONFIG!$G$5,CONFIG!$G$6)</f>
        <v/>
      </c>
      <c r="C172" s="4" t="n"/>
      <c r="D172" s="4" t="n"/>
      <c r="E172" s="9" t="n"/>
      <c r="F172" s="9" t="n"/>
      <c r="G172" s="9" t="n"/>
      <c r="H172" s="9">
        <f>IF(OR(E172&gt;0,F172&gt;0,G172&gt;0),SUM(E172:G172),"")</f>
        <v/>
      </c>
      <c r="I172" s="4" t="n"/>
      <c r="J172" s="4" t="n"/>
    </row>
    <row r="173">
      <c r="A173" s="12">
        <f>IF(B173=CONFIG!$G$5,A172+1,A172)</f>
        <v/>
      </c>
      <c r="B173" s="4">
        <f>IF(B172=CONFIG!$G$6,CONFIG!$G$5,CONFIG!$G$6)</f>
        <v/>
      </c>
      <c r="C173" s="4" t="n"/>
      <c r="D173" s="4" t="n"/>
      <c r="E173" s="9" t="n"/>
      <c r="F173" s="9" t="n"/>
      <c r="G173" s="9" t="n"/>
      <c r="H173" s="9">
        <f>IF(OR(E173&gt;0,F173&gt;0,G173&gt;0),SUM(E173:G173),"")</f>
        <v/>
      </c>
      <c r="I173" s="4" t="n"/>
      <c r="J173" s="4" t="n"/>
    </row>
    <row r="174">
      <c r="A174" s="12">
        <f>IF(B174=CONFIG!$G$5,A173+1,A173)</f>
        <v/>
      </c>
      <c r="B174" s="4">
        <f>IF(B173=CONFIG!$G$6,CONFIG!$G$5,CONFIG!$G$6)</f>
        <v/>
      </c>
      <c r="C174" s="4" t="n"/>
      <c r="D174" s="4" t="n"/>
      <c r="E174" s="9" t="n"/>
      <c r="F174" s="9" t="n"/>
      <c r="G174" s="9" t="n"/>
      <c r="H174" s="9">
        <f>IF(OR(E174&gt;0,F174&gt;0,G174&gt;0),SUM(E174:G174),"")</f>
        <v/>
      </c>
      <c r="I174" s="4" t="n"/>
      <c r="J174" s="4" t="n"/>
    </row>
    <row r="175">
      <c r="A175" s="12">
        <f>IF(B175=CONFIG!$G$5,A174+1,A174)</f>
        <v/>
      </c>
      <c r="B175" s="4">
        <f>IF(B174=CONFIG!$G$6,CONFIG!$G$5,CONFIG!$G$6)</f>
        <v/>
      </c>
      <c r="C175" s="4" t="n"/>
      <c r="D175" s="4" t="n"/>
      <c r="E175" s="9" t="n"/>
      <c r="F175" s="9" t="n"/>
      <c r="G175" s="9" t="n"/>
      <c r="H175" s="9">
        <f>IF(OR(E175&gt;0,F175&gt;0,G175&gt;0),SUM(E175:G175),"")</f>
        <v/>
      </c>
      <c r="I175" s="4" t="n"/>
      <c r="J175" s="4" t="n"/>
    </row>
    <row r="176">
      <c r="A176" s="12">
        <f>IF(B176=CONFIG!$G$5,A175+1,A175)</f>
        <v/>
      </c>
      <c r="B176" s="4">
        <f>IF(B175=CONFIG!$G$6,CONFIG!$G$5,CONFIG!$G$6)</f>
        <v/>
      </c>
      <c r="C176" s="4" t="n"/>
      <c r="D176" s="4" t="n"/>
      <c r="E176" s="9" t="n"/>
      <c r="F176" s="9" t="n"/>
      <c r="G176" s="9" t="n"/>
      <c r="H176" s="9">
        <f>IF(OR(E176&gt;0,F176&gt;0,G176&gt;0),SUM(E176:G176),"")</f>
        <v/>
      </c>
      <c r="I176" s="4" t="n"/>
      <c r="J176" s="4" t="n"/>
    </row>
    <row r="177">
      <c r="A177" s="12">
        <f>IF(B177=CONFIG!$G$5,A176+1,A176)</f>
        <v/>
      </c>
      <c r="B177" s="4">
        <f>IF(B176=CONFIG!$G$6,CONFIG!$G$5,CONFIG!$G$6)</f>
        <v/>
      </c>
      <c r="C177" s="4" t="n"/>
      <c r="D177" s="4" t="n"/>
      <c r="E177" s="9" t="n"/>
      <c r="F177" s="9" t="n"/>
      <c r="G177" s="9" t="n"/>
      <c r="H177" s="9">
        <f>IF(OR(E177&gt;0,F177&gt;0,G177&gt;0),SUM(E177:G177),"")</f>
        <v/>
      </c>
      <c r="I177" s="4" t="n"/>
      <c r="J177" s="4" t="n"/>
    </row>
    <row r="178">
      <c r="A178" s="12">
        <f>IF(B178=CONFIG!$G$5,A177+1,A177)</f>
        <v/>
      </c>
      <c r="B178" s="4">
        <f>IF(B177=CONFIG!$G$6,CONFIG!$G$5,CONFIG!$G$6)</f>
        <v/>
      </c>
      <c r="C178" s="4" t="n"/>
      <c r="D178" s="4" t="n"/>
      <c r="E178" s="9" t="n"/>
      <c r="F178" s="9" t="n"/>
      <c r="G178" s="9" t="n"/>
      <c r="H178" s="9">
        <f>IF(OR(E178&gt;0,F178&gt;0,G178&gt;0),SUM(E178:G178),"")</f>
        <v/>
      </c>
      <c r="I178" s="4" t="n"/>
      <c r="J178" s="4" t="n"/>
    </row>
    <row r="179">
      <c r="A179" s="12">
        <f>IF(B179=CONFIG!$G$5,A178+1,A178)</f>
        <v/>
      </c>
      <c r="B179" s="4">
        <f>IF(B178=CONFIG!$G$6,CONFIG!$G$5,CONFIG!$G$6)</f>
        <v/>
      </c>
      <c r="C179" s="4" t="n"/>
      <c r="D179" s="4" t="n"/>
      <c r="E179" s="9" t="n"/>
      <c r="F179" s="9" t="n"/>
      <c r="G179" s="9" t="n"/>
      <c r="H179" s="9">
        <f>IF(OR(E179&gt;0,F179&gt;0,G179&gt;0),SUM(E179:G179),"")</f>
        <v/>
      </c>
      <c r="I179" s="4" t="n"/>
      <c r="J179" s="4" t="n"/>
    </row>
    <row r="180">
      <c r="A180" s="12">
        <f>IF(B180=CONFIG!$G$5,A179+1,A179)</f>
        <v/>
      </c>
      <c r="B180" s="4">
        <f>IF(B179=CONFIG!$G$6,CONFIG!$G$5,CONFIG!$G$6)</f>
        <v/>
      </c>
      <c r="C180" s="4" t="n"/>
      <c r="D180" s="4" t="n"/>
      <c r="E180" s="9" t="n"/>
      <c r="F180" s="9" t="n"/>
      <c r="G180" s="9" t="n"/>
      <c r="H180" s="9">
        <f>IF(OR(E180&gt;0,F180&gt;0,G180&gt;0),SUM(E180:G180),"")</f>
        <v/>
      </c>
      <c r="I180" s="4" t="n"/>
      <c r="J180" s="4" t="n"/>
    </row>
    <row r="181">
      <c r="A181" s="12">
        <f>IF(B181=CONFIG!$G$5,A180+1,A180)</f>
        <v/>
      </c>
      <c r="B181" s="4">
        <f>IF(B180=CONFIG!$G$6,CONFIG!$G$5,CONFIG!$G$6)</f>
        <v/>
      </c>
      <c r="C181" s="4" t="n"/>
      <c r="D181" s="4" t="n"/>
      <c r="E181" s="9" t="n"/>
      <c r="F181" s="9" t="n"/>
      <c r="G181" s="9" t="n"/>
      <c r="H181" s="9">
        <f>IF(OR(E181&gt;0,F181&gt;0,G181&gt;0),SUM(E181:G181),"")</f>
        <v/>
      </c>
      <c r="I181" s="4" t="n"/>
      <c r="J181" s="4" t="n"/>
    </row>
    <row r="182">
      <c r="A182" s="12">
        <f>IF(B182=CONFIG!$G$5,A181+1,A181)</f>
        <v/>
      </c>
      <c r="B182" s="4">
        <f>IF(B181=CONFIG!$G$6,CONFIG!$G$5,CONFIG!$G$6)</f>
        <v/>
      </c>
      <c r="C182" s="4" t="n"/>
      <c r="D182" s="4" t="n"/>
      <c r="E182" s="9" t="n"/>
      <c r="F182" s="9" t="n"/>
      <c r="G182" s="9" t="n"/>
      <c r="H182" s="9">
        <f>IF(OR(E182&gt;0,F182&gt;0,G182&gt;0),SUM(E182:G182),"")</f>
        <v/>
      </c>
      <c r="I182" s="4" t="n"/>
      <c r="J182" s="4" t="n"/>
    </row>
    <row r="183">
      <c r="A183" s="12">
        <f>IF(B183=CONFIG!$G$5,A182+1,A182)</f>
        <v/>
      </c>
      <c r="B183" s="4">
        <f>IF(B182=CONFIG!$G$6,CONFIG!$G$5,CONFIG!$G$6)</f>
        <v/>
      </c>
      <c r="C183" s="4" t="n"/>
      <c r="D183" s="4" t="n"/>
      <c r="E183" s="9" t="n"/>
      <c r="F183" s="9" t="n"/>
      <c r="G183" s="9" t="n"/>
      <c r="H183" s="9">
        <f>IF(OR(E183&gt;0,F183&gt;0,G183&gt;0),SUM(E183:G183),"")</f>
        <v/>
      </c>
      <c r="I183" s="4" t="n"/>
      <c r="J183" s="4" t="n"/>
    </row>
    <row r="184">
      <c r="A184" s="12">
        <f>IF(B184=CONFIG!$G$5,A183+1,A183)</f>
        <v/>
      </c>
      <c r="B184" s="4">
        <f>IF(B183=CONFIG!$G$6,CONFIG!$G$5,CONFIG!$G$6)</f>
        <v/>
      </c>
      <c r="C184" s="4" t="n"/>
      <c r="D184" s="4" t="n"/>
      <c r="E184" s="9" t="n"/>
      <c r="F184" s="9" t="n"/>
      <c r="G184" s="9" t="n"/>
      <c r="H184" s="9">
        <f>IF(OR(E184&gt;0,F184&gt;0,G184&gt;0),SUM(E184:G184),"")</f>
        <v/>
      </c>
      <c r="I184" s="4" t="n"/>
      <c r="J184" s="4" t="n"/>
    </row>
    <row r="185">
      <c r="A185" s="12">
        <f>IF(B185=CONFIG!$G$5,A184+1,A184)</f>
        <v/>
      </c>
      <c r="B185" s="4">
        <f>IF(B184=CONFIG!$G$6,CONFIG!$G$5,CONFIG!$G$6)</f>
        <v/>
      </c>
      <c r="C185" s="4" t="n"/>
      <c r="D185" s="4" t="n"/>
      <c r="E185" s="9" t="n"/>
      <c r="F185" s="9" t="n"/>
      <c r="G185" s="9" t="n"/>
      <c r="H185" s="9">
        <f>IF(OR(E185&gt;0,F185&gt;0,G185&gt;0),SUM(E185:G185),"")</f>
        <v/>
      </c>
      <c r="I185" s="4" t="n"/>
      <c r="J185" s="4" t="n"/>
    </row>
    <row r="186">
      <c r="A186" s="12">
        <f>IF(B186=CONFIG!$G$5,A185+1,A185)</f>
        <v/>
      </c>
      <c r="B186" s="4">
        <f>IF(B185=CONFIG!$G$6,CONFIG!$G$5,CONFIG!$G$6)</f>
        <v/>
      </c>
      <c r="C186" s="4" t="n"/>
      <c r="D186" s="4" t="n"/>
      <c r="E186" s="9" t="n"/>
      <c r="F186" s="9" t="n"/>
      <c r="G186" s="9" t="n"/>
      <c r="H186" s="9">
        <f>IF(OR(E186&gt;0,F186&gt;0,G186&gt;0),SUM(E186:G186),"")</f>
        <v/>
      </c>
      <c r="I186" s="4" t="n"/>
      <c r="J186" s="4" t="n"/>
    </row>
    <row r="187">
      <c r="A187" s="12">
        <f>IF(B187=CONFIG!$G$5,A186+1,A186)</f>
        <v/>
      </c>
      <c r="B187" s="4">
        <f>IF(B186=CONFIG!$G$6,CONFIG!$G$5,CONFIG!$G$6)</f>
        <v/>
      </c>
      <c r="C187" s="4" t="n"/>
      <c r="D187" s="4" t="n"/>
      <c r="E187" s="9" t="n"/>
      <c r="F187" s="9" t="n"/>
      <c r="G187" s="9" t="n"/>
      <c r="H187" s="9">
        <f>IF(OR(E187&gt;0,F187&gt;0,G187&gt;0),SUM(E187:G187),"")</f>
        <v/>
      </c>
      <c r="I187" s="4" t="n"/>
      <c r="J187" s="4" t="n"/>
    </row>
    <row r="188">
      <c r="A188" s="12">
        <f>IF(B188=CONFIG!$G$5,A187+1,A187)</f>
        <v/>
      </c>
      <c r="B188" s="4">
        <f>IF(B187=CONFIG!$G$6,CONFIG!$G$5,CONFIG!$G$6)</f>
        <v/>
      </c>
      <c r="C188" s="4" t="n"/>
      <c r="D188" s="4" t="n"/>
      <c r="E188" s="9" t="n"/>
      <c r="F188" s="9" t="n"/>
      <c r="G188" s="9" t="n"/>
      <c r="H188" s="9">
        <f>IF(OR(E188&gt;0,F188&gt;0,G188&gt;0),SUM(E188:G188),"")</f>
        <v/>
      </c>
      <c r="I188" s="4" t="n"/>
      <c r="J188" s="4" t="n"/>
    </row>
    <row r="189">
      <c r="A189" s="12">
        <f>IF(B189=CONFIG!$G$5,A188+1,A188)</f>
        <v/>
      </c>
      <c r="B189" s="4">
        <f>IF(B188=CONFIG!$G$6,CONFIG!$G$5,CONFIG!$G$6)</f>
        <v/>
      </c>
      <c r="C189" s="4" t="n"/>
      <c r="D189" s="4" t="n"/>
      <c r="E189" s="9" t="n"/>
      <c r="F189" s="9" t="n"/>
      <c r="G189" s="9" t="n"/>
      <c r="H189" s="9">
        <f>IF(OR(E189&gt;0,F189&gt;0,G189&gt;0),SUM(E189:G189),"")</f>
        <v/>
      </c>
      <c r="I189" s="4" t="n"/>
      <c r="J189" s="4" t="n"/>
    </row>
    <row r="190">
      <c r="A190" s="12">
        <f>IF(B190=CONFIG!$G$5,A189+1,A189)</f>
        <v/>
      </c>
      <c r="B190" s="4">
        <f>IF(B189=CONFIG!$G$6,CONFIG!$G$5,CONFIG!$G$6)</f>
        <v/>
      </c>
      <c r="C190" s="4" t="n"/>
      <c r="D190" s="4" t="n"/>
      <c r="E190" s="9" t="n"/>
      <c r="F190" s="9" t="n"/>
      <c r="G190" s="9" t="n"/>
      <c r="H190" s="9">
        <f>IF(OR(E190&gt;0,F190&gt;0,G190&gt;0),SUM(E190:G190),"")</f>
        <v/>
      </c>
      <c r="I190" s="4" t="n"/>
      <c r="J190" s="4" t="n"/>
    </row>
    <row r="191">
      <c r="A191" s="12">
        <f>IF(B191=CONFIG!$G$5,A190+1,A190)</f>
        <v/>
      </c>
      <c r="B191" s="4">
        <f>IF(B190=CONFIG!$G$6,CONFIG!$G$5,CONFIG!$G$6)</f>
        <v/>
      </c>
      <c r="C191" s="4" t="n"/>
      <c r="D191" s="4" t="n"/>
      <c r="E191" s="9" t="n"/>
      <c r="F191" s="9" t="n"/>
      <c r="G191" s="9" t="n"/>
      <c r="H191" s="9">
        <f>IF(OR(E191&gt;0,F191&gt;0,G191&gt;0),SUM(E191:G191),"")</f>
        <v/>
      </c>
      <c r="I191" s="4" t="n"/>
      <c r="J191" s="4" t="n"/>
    </row>
    <row r="192">
      <c r="A192" s="12">
        <f>IF(B192=CONFIG!$G$5,A191+1,A191)</f>
        <v/>
      </c>
      <c r="B192" s="4">
        <f>IF(B191=CONFIG!$G$6,CONFIG!$G$5,CONFIG!$G$6)</f>
        <v/>
      </c>
      <c r="C192" s="4" t="n"/>
      <c r="D192" s="4" t="n"/>
      <c r="E192" s="9" t="n"/>
      <c r="F192" s="9" t="n"/>
      <c r="G192" s="9" t="n"/>
      <c r="H192" s="9">
        <f>IF(OR(E192&gt;0,F192&gt;0,G192&gt;0),SUM(E192:G192),"")</f>
        <v/>
      </c>
      <c r="I192" s="4" t="n"/>
      <c r="J192" s="4" t="n"/>
    </row>
    <row r="193">
      <c r="A193" s="12">
        <f>IF(B193=CONFIG!$G$5,A192+1,A192)</f>
        <v/>
      </c>
      <c r="B193" s="4">
        <f>IF(B192=CONFIG!$G$6,CONFIG!$G$5,CONFIG!$G$6)</f>
        <v/>
      </c>
      <c r="C193" s="4" t="n"/>
      <c r="D193" s="4" t="n"/>
      <c r="E193" s="9" t="n"/>
      <c r="F193" s="9" t="n"/>
      <c r="G193" s="9" t="n"/>
      <c r="H193" s="9">
        <f>IF(OR(E193&gt;0,F193&gt;0,G193&gt;0),SUM(E193:G193),"")</f>
        <v/>
      </c>
      <c r="I193" s="4" t="n"/>
      <c r="J193" s="4" t="n"/>
    </row>
    <row r="194">
      <c r="A194" s="12">
        <f>IF(B194=CONFIG!$G$5,A193+1,A193)</f>
        <v/>
      </c>
      <c r="B194" s="4">
        <f>IF(B193=CONFIG!$G$6,CONFIG!$G$5,CONFIG!$G$6)</f>
        <v/>
      </c>
      <c r="C194" s="4" t="n"/>
      <c r="D194" s="4" t="n"/>
      <c r="E194" s="9" t="n"/>
      <c r="F194" s="9" t="n"/>
      <c r="G194" s="9" t="n"/>
      <c r="H194" s="9">
        <f>IF(OR(E194&gt;0,F194&gt;0,G194&gt;0),SUM(E194:G194),"")</f>
        <v/>
      </c>
      <c r="I194" s="4" t="n"/>
      <c r="J194" s="4" t="n"/>
    </row>
    <row r="195">
      <c r="A195" s="12">
        <f>IF(B195=CONFIG!$G$5,A194+1,A194)</f>
        <v/>
      </c>
      <c r="B195" s="4">
        <f>IF(B194=CONFIG!$G$6,CONFIG!$G$5,CONFIG!$G$6)</f>
        <v/>
      </c>
      <c r="C195" s="4" t="n"/>
      <c r="D195" s="4" t="n"/>
      <c r="E195" s="9" t="n"/>
      <c r="F195" s="9" t="n"/>
      <c r="G195" s="9" t="n"/>
      <c r="H195" s="9">
        <f>IF(OR(E195&gt;0,F195&gt;0,G195&gt;0),SUM(E195:G195),"")</f>
        <v/>
      </c>
      <c r="I195" s="4" t="n"/>
      <c r="J195" s="4" t="n"/>
    </row>
    <row r="196">
      <c r="A196" s="12">
        <f>IF(B196=CONFIG!$G$5,A195+1,A195)</f>
        <v/>
      </c>
      <c r="B196" s="4">
        <f>IF(B195=CONFIG!$G$6,CONFIG!$G$5,CONFIG!$G$6)</f>
        <v/>
      </c>
      <c r="C196" s="4" t="n"/>
      <c r="D196" s="4" t="n"/>
      <c r="E196" s="9" t="n"/>
      <c r="F196" s="9" t="n"/>
      <c r="G196" s="9" t="n"/>
      <c r="H196" s="9">
        <f>IF(OR(E196&gt;0,F196&gt;0,G196&gt;0),SUM(E196:G196),"")</f>
        <v/>
      </c>
      <c r="I196" s="4" t="n"/>
      <c r="J196" s="4" t="n"/>
    </row>
    <row r="197">
      <c r="A197" s="12">
        <f>IF(B197=CONFIG!$G$5,A196+1,A196)</f>
        <v/>
      </c>
      <c r="B197" s="4">
        <f>IF(B196=CONFIG!$G$6,CONFIG!$G$5,CONFIG!$G$6)</f>
        <v/>
      </c>
      <c r="C197" s="4" t="n"/>
      <c r="D197" s="4" t="n"/>
      <c r="E197" s="9" t="n"/>
      <c r="F197" s="9" t="n"/>
      <c r="G197" s="9" t="n"/>
      <c r="H197" s="9">
        <f>IF(OR(E197&gt;0,F197&gt;0,G197&gt;0),SUM(E197:G197),"")</f>
        <v/>
      </c>
      <c r="I197" s="4" t="n"/>
      <c r="J197" s="4" t="n"/>
    </row>
    <row r="198">
      <c r="A198" s="12">
        <f>IF(B198=CONFIG!$G$5,A197+1,A197)</f>
        <v/>
      </c>
      <c r="B198" s="4">
        <f>IF(B197=CONFIG!$G$6,CONFIG!$G$5,CONFIG!$G$6)</f>
        <v/>
      </c>
      <c r="C198" s="4" t="n"/>
      <c r="D198" s="4" t="n"/>
      <c r="E198" s="9" t="n"/>
      <c r="F198" s="9" t="n"/>
      <c r="G198" s="9" t="n"/>
      <c r="H198" s="9">
        <f>IF(OR(E198&gt;0,F198&gt;0,G198&gt;0),SUM(E198:G198),"")</f>
        <v/>
      </c>
      <c r="I198" s="4" t="n"/>
      <c r="J198" s="4" t="n"/>
    </row>
    <row r="199">
      <c r="A199" s="12">
        <f>IF(B199=CONFIG!$G$5,A198+1,A198)</f>
        <v/>
      </c>
      <c r="B199" s="4">
        <f>IF(B198=CONFIG!$G$6,CONFIG!$G$5,CONFIG!$G$6)</f>
        <v/>
      </c>
      <c r="C199" s="4" t="n"/>
      <c r="D199" s="4" t="n"/>
      <c r="E199" s="9" t="n"/>
      <c r="F199" s="9" t="n"/>
      <c r="G199" s="9" t="n"/>
      <c r="H199" s="9">
        <f>IF(OR(E199&gt;0,F199&gt;0,G199&gt;0),SUM(E199:G199),"")</f>
        <v/>
      </c>
      <c r="I199" s="4" t="n"/>
      <c r="J199" s="4" t="n"/>
    </row>
    <row r="200">
      <c r="A200" s="12">
        <f>IF(B200=CONFIG!$G$5,A199+1,A199)</f>
        <v/>
      </c>
      <c r="B200" s="4">
        <f>IF(B199=CONFIG!$G$6,CONFIG!$G$5,CONFIG!$G$6)</f>
        <v/>
      </c>
      <c r="C200" s="4" t="n"/>
      <c r="D200" s="4" t="n"/>
      <c r="E200" s="9" t="n"/>
      <c r="F200" s="9" t="n"/>
      <c r="G200" s="9" t="n"/>
      <c r="H200" s="9">
        <f>IF(OR(E200&gt;0,F200&gt;0,G200&gt;0),SUM(E200:G200),"")</f>
        <v/>
      </c>
      <c r="I200" s="4" t="n"/>
      <c r="J200" s="4" t="n"/>
    </row>
    <row r="201">
      <c r="A201" s="12">
        <f>IF(B201=CONFIG!$G$5,A200+1,A200)</f>
        <v/>
      </c>
      <c r="B201" s="4">
        <f>IF(B200=CONFIG!$G$6,CONFIG!$G$5,CONFIG!$G$6)</f>
        <v/>
      </c>
      <c r="C201" s="4" t="n"/>
      <c r="D201" s="4" t="n"/>
      <c r="E201" s="9" t="n"/>
      <c r="F201" s="9" t="n"/>
      <c r="G201" s="9" t="n"/>
      <c r="H201" s="9">
        <f>IF(OR(E201&gt;0,F201&gt;0,G201&gt;0),SUM(E201:G201),"")</f>
        <v/>
      </c>
      <c r="I201" s="4" t="n"/>
      <c r="J201" s="4" t="n"/>
    </row>
    <row r="202">
      <c r="A202" s="12">
        <f>IF(B202=CONFIG!$G$5,A201+1,A201)</f>
        <v/>
      </c>
      <c r="B202" s="4">
        <f>IF(B201=CONFIG!$G$6,CONFIG!$G$5,CONFIG!$G$6)</f>
        <v/>
      </c>
      <c r="C202" s="4" t="n"/>
      <c r="D202" s="4" t="n"/>
      <c r="E202" s="9" t="n"/>
      <c r="F202" s="9" t="n"/>
      <c r="G202" s="9" t="n"/>
      <c r="H202" s="9">
        <f>IF(OR(E202&gt;0,F202&gt;0,G202&gt;0),SUM(E202:G202),"")</f>
        <v/>
      </c>
      <c r="I202" s="4" t="n"/>
      <c r="J202" s="4" t="n"/>
    </row>
    <row r="203">
      <c r="A203" s="12">
        <f>IF(B203=CONFIG!$G$5,A202+1,A202)</f>
        <v/>
      </c>
      <c r="B203" s="4">
        <f>IF(B202=CONFIG!$G$6,CONFIG!$G$5,CONFIG!$G$6)</f>
        <v/>
      </c>
      <c r="C203" s="4" t="n"/>
      <c r="D203" s="4" t="n"/>
      <c r="E203" s="9" t="n"/>
      <c r="F203" s="9" t="n"/>
      <c r="G203" s="9" t="n"/>
      <c r="H203" s="9">
        <f>IF(OR(E203&gt;0,F203&gt;0,G203&gt;0),SUM(E203:G203),"")</f>
        <v/>
      </c>
      <c r="I203" s="4" t="n"/>
      <c r="J203" s="4" t="n"/>
    </row>
    <row r="204">
      <c r="A204" s="12">
        <f>IF(B204=CONFIG!$G$5,A203+1,A203)</f>
        <v/>
      </c>
      <c r="B204" s="4">
        <f>IF(B203=CONFIG!$G$6,CONFIG!$G$5,CONFIG!$G$6)</f>
        <v/>
      </c>
      <c r="C204" s="4" t="n"/>
      <c r="D204" s="4" t="n"/>
      <c r="E204" s="9" t="n"/>
      <c r="F204" s="9" t="n"/>
      <c r="G204" s="9" t="n"/>
      <c r="H204" s="9">
        <f>IF(OR(E204&gt;0,F204&gt;0,G204&gt;0),SUM(E204:G204),"")</f>
        <v/>
      </c>
      <c r="I204" s="4" t="n"/>
      <c r="J204" s="4" t="n"/>
    </row>
    <row r="205">
      <c r="A205" s="12">
        <f>IF(B205=CONFIG!$G$5,A204+1,A204)</f>
        <v/>
      </c>
      <c r="B205" s="4">
        <f>IF(B204=CONFIG!$G$6,CONFIG!$G$5,CONFIG!$G$6)</f>
        <v/>
      </c>
      <c r="C205" s="4" t="n"/>
      <c r="D205" s="4" t="n"/>
      <c r="E205" s="9" t="n"/>
      <c r="F205" s="9" t="n"/>
      <c r="G205" s="9" t="n"/>
      <c r="H205" s="9">
        <f>IF(OR(E205&gt;0,F205&gt;0,G205&gt;0),SUM(E205:G205),"")</f>
        <v/>
      </c>
      <c r="I205" s="4" t="n"/>
      <c r="J205" s="4" t="n"/>
    </row>
    <row r="206">
      <c r="A206" s="12">
        <f>IF(B206=CONFIG!$G$5,A205+1,A205)</f>
        <v/>
      </c>
      <c r="B206" s="4">
        <f>IF(B205=CONFIG!$G$6,CONFIG!$G$5,CONFIG!$G$6)</f>
        <v/>
      </c>
      <c r="C206" s="4" t="n"/>
      <c r="D206" s="4" t="n"/>
      <c r="E206" s="9" t="n"/>
      <c r="F206" s="9" t="n"/>
      <c r="G206" s="9" t="n"/>
      <c r="H206" s="9">
        <f>IF(OR(E206&gt;0,F206&gt;0,G206&gt;0),SUM(E206:G206),"")</f>
        <v/>
      </c>
      <c r="I206" s="4" t="n"/>
      <c r="J206" s="4" t="n"/>
    </row>
    <row r="207">
      <c r="A207" s="12">
        <f>IF(B207=CONFIG!$G$5,A206+1,A206)</f>
        <v/>
      </c>
      <c r="B207" s="4">
        <f>IF(B206=CONFIG!$G$6,CONFIG!$G$5,CONFIG!$G$6)</f>
        <v/>
      </c>
      <c r="C207" s="4" t="n"/>
      <c r="D207" s="4" t="n"/>
      <c r="E207" s="9" t="n"/>
      <c r="F207" s="9" t="n"/>
      <c r="G207" s="9" t="n"/>
      <c r="H207" s="9">
        <f>IF(OR(E207&gt;0,F207&gt;0,G207&gt;0),SUM(E207:G207),"")</f>
        <v/>
      </c>
      <c r="I207" s="4" t="n"/>
      <c r="J207" s="4" t="n"/>
    </row>
    <row r="208">
      <c r="A208" s="12">
        <f>IF(B208=CONFIG!$G$5,A207+1,A207)</f>
        <v/>
      </c>
      <c r="B208" s="4">
        <f>IF(B207=CONFIG!$G$6,CONFIG!$G$5,CONFIG!$G$6)</f>
        <v/>
      </c>
      <c r="C208" s="4" t="n"/>
      <c r="D208" s="4" t="n"/>
      <c r="E208" s="9" t="n"/>
      <c r="F208" s="9" t="n"/>
      <c r="G208" s="9" t="n"/>
      <c r="H208" s="9">
        <f>IF(OR(E208&gt;0,F208&gt;0,G208&gt;0),SUM(E208:G208),"")</f>
        <v/>
      </c>
      <c r="I208" s="4" t="n"/>
      <c r="J208" s="4" t="n"/>
    </row>
    <row r="209">
      <c r="A209" s="12">
        <f>IF(B209=CONFIG!$G$5,A208+1,A208)</f>
        <v/>
      </c>
      <c r="B209" s="4">
        <f>IF(B208=CONFIG!$G$6,CONFIG!$G$5,CONFIG!$G$6)</f>
        <v/>
      </c>
      <c r="C209" s="4" t="n"/>
      <c r="D209" s="4" t="n"/>
      <c r="E209" s="9" t="n"/>
      <c r="F209" s="9" t="n"/>
      <c r="G209" s="9" t="n"/>
      <c r="H209" s="9">
        <f>IF(OR(E209&gt;0,F209&gt;0,G209&gt;0),SUM(E209:G209),"")</f>
        <v/>
      </c>
      <c r="I209" s="4" t="n"/>
      <c r="J209" s="4" t="n"/>
    </row>
    <row r="210">
      <c r="A210" s="12">
        <f>IF(B210=CONFIG!$G$5,A209+1,A209)</f>
        <v/>
      </c>
      <c r="B210" s="4">
        <f>IF(B209=CONFIG!$G$6,CONFIG!$G$5,CONFIG!$G$6)</f>
        <v/>
      </c>
      <c r="C210" s="4" t="n"/>
      <c r="D210" s="4" t="n"/>
      <c r="E210" s="9" t="n"/>
      <c r="F210" s="9" t="n"/>
      <c r="G210" s="9" t="n"/>
      <c r="H210" s="9">
        <f>IF(OR(E210&gt;0,F210&gt;0,G210&gt;0),SUM(E210:G210),"")</f>
        <v/>
      </c>
      <c r="I210" s="4" t="n"/>
      <c r="J210" s="4" t="n"/>
    </row>
    <row r="211">
      <c r="A211" s="12">
        <f>IF(B211=CONFIG!$G$5,A210+1,A210)</f>
        <v/>
      </c>
      <c r="B211" s="4">
        <f>IF(B210=CONFIG!$G$6,CONFIG!$G$5,CONFIG!$G$6)</f>
        <v/>
      </c>
      <c r="C211" s="4" t="n"/>
      <c r="D211" s="4" t="n"/>
      <c r="E211" s="9" t="n"/>
      <c r="F211" s="9" t="n"/>
      <c r="G211" s="9" t="n"/>
      <c r="H211" s="9">
        <f>IF(OR(E211&gt;0,F211&gt;0,G211&gt;0),SUM(E211:G211),"")</f>
        <v/>
      </c>
      <c r="I211" s="4" t="n"/>
      <c r="J211" s="4" t="n"/>
    </row>
    <row r="212">
      <c r="A212" s="12">
        <f>IF(B212=CONFIG!$G$5,A211+1,A211)</f>
        <v/>
      </c>
      <c r="B212" s="4">
        <f>IF(B211=CONFIG!$G$6,CONFIG!$G$5,CONFIG!$G$6)</f>
        <v/>
      </c>
      <c r="C212" s="4" t="n"/>
      <c r="D212" s="4" t="n"/>
      <c r="E212" s="9" t="n"/>
      <c r="F212" s="9" t="n"/>
      <c r="G212" s="9" t="n"/>
      <c r="H212" s="9">
        <f>IF(OR(E212&gt;0,F212&gt;0,G212&gt;0),SUM(E212:G212),"")</f>
        <v/>
      </c>
      <c r="I212" s="4" t="n"/>
      <c r="J212" s="4" t="n"/>
    </row>
    <row r="213">
      <c r="A213" s="12">
        <f>IF(B213=CONFIG!$G$5,A212+1,A212)</f>
        <v/>
      </c>
      <c r="B213" s="4">
        <f>IF(B212=CONFIG!$G$6,CONFIG!$G$5,CONFIG!$G$6)</f>
        <v/>
      </c>
      <c r="C213" s="4" t="n"/>
      <c r="D213" s="4" t="n"/>
      <c r="E213" s="9" t="n"/>
      <c r="F213" s="9" t="n"/>
      <c r="G213" s="9" t="n"/>
      <c r="H213" s="9">
        <f>IF(OR(E213&gt;0,F213&gt;0,G213&gt;0),SUM(E213:G213),"")</f>
        <v/>
      </c>
      <c r="I213" s="4" t="n"/>
      <c r="J213" s="4" t="n"/>
    </row>
    <row r="214">
      <c r="A214" s="12">
        <f>IF(B214=CONFIG!$G$5,A213+1,A213)</f>
        <v/>
      </c>
      <c r="B214" s="4">
        <f>IF(B213=CONFIG!$G$6,CONFIG!$G$5,CONFIG!$G$6)</f>
        <v/>
      </c>
      <c r="C214" s="4" t="n"/>
      <c r="D214" s="4" t="n"/>
      <c r="E214" s="9" t="n"/>
      <c r="F214" s="9" t="n"/>
      <c r="G214" s="9" t="n"/>
      <c r="H214" s="9">
        <f>IF(OR(E214&gt;0,F214&gt;0,G214&gt;0),SUM(E214:G214),"")</f>
        <v/>
      </c>
      <c r="I214" s="4" t="n"/>
      <c r="J214" s="4" t="n"/>
    </row>
    <row r="215">
      <c r="A215" s="12">
        <f>IF(B215=CONFIG!$G$5,A214+1,A214)</f>
        <v/>
      </c>
      <c r="B215" s="4">
        <f>IF(B214=CONFIG!$G$6,CONFIG!$G$5,CONFIG!$G$6)</f>
        <v/>
      </c>
      <c r="C215" s="4" t="n"/>
      <c r="D215" s="4" t="n"/>
      <c r="E215" s="9" t="n"/>
      <c r="F215" s="9" t="n"/>
      <c r="G215" s="9" t="n"/>
      <c r="H215" s="9">
        <f>IF(OR(E215&gt;0,F215&gt;0,G215&gt;0),SUM(E215:G215),"")</f>
        <v/>
      </c>
      <c r="I215" s="4" t="n"/>
      <c r="J215" s="4" t="n"/>
    </row>
    <row r="216">
      <c r="A216" s="12">
        <f>IF(B216=CONFIG!$G$5,A215+1,A215)</f>
        <v/>
      </c>
      <c r="B216" s="4">
        <f>IF(B215=CONFIG!$G$6,CONFIG!$G$5,CONFIG!$G$6)</f>
        <v/>
      </c>
      <c r="C216" s="4" t="n"/>
      <c r="D216" s="4" t="n"/>
      <c r="E216" s="9" t="n"/>
      <c r="F216" s="9" t="n"/>
      <c r="G216" s="9" t="n"/>
      <c r="H216" s="9">
        <f>IF(OR(E216&gt;0,F216&gt;0,G216&gt;0),SUM(E216:G216),"")</f>
        <v/>
      </c>
      <c r="I216" s="4" t="n"/>
      <c r="J216" s="4" t="n"/>
    </row>
    <row r="217">
      <c r="A217" s="12">
        <f>IF(B217=CONFIG!$G$5,A216+1,A216)</f>
        <v/>
      </c>
      <c r="B217" s="4">
        <f>IF(B216=CONFIG!$G$6,CONFIG!$G$5,CONFIG!$G$6)</f>
        <v/>
      </c>
      <c r="C217" s="4" t="n"/>
      <c r="D217" s="4" t="n"/>
      <c r="E217" s="9" t="n"/>
      <c r="F217" s="9" t="n"/>
      <c r="G217" s="9" t="n"/>
      <c r="H217" s="9">
        <f>IF(OR(E217&gt;0,F217&gt;0,G217&gt;0),SUM(E217:G217),"")</f>
        <v/>
      </c>
      <c r="I217" s="4" t="n"/>
      <c r="J217" s="4" t="n"/>
    </row>
    <row r="218">
      <c r="A218" s="12">
        <f>IF(B218=CONFIG!$G$5,A217+1,A217)</f>
        <v/>
      </c>
      <c r="B218" s="4">
        <f>IF(B217=CONFIG!$G$6,CONFIG!$G$5,CONFIG!$G$6)</f>
        <v/>
      </c>
      <c r="C218" s="4" t="n"/>
      <c r="D218" s="4" t="n"/>
      <c r="E218" s="9" t="n"/>
      <c r="F218" s="9" t="n"/>
      <c r="G218" s="9" t="n"/>
      <c r="H218" s="9">
        <f>IF(OR(E218&gt;0,F218&gt;0,G218&gt;0),SUM(E218:G218),"")</f>
        <v/>
      </c>
      <c r="I218" s="4" t="n"/>
      <c r="J218" s="4" t="n"/>
    </row>
    <row r="219">
      <c r="A219" s="12">
        <f>IF(B219=CONFIG!$G$5,A218+1,A218)</f>
        <v/>
      </c>
      <c r="B219" s="4">
        <f>IF(B218=CONFIG!$G$6,CONFIG!$G$5,CONFIG!$G$6)</f>
        <v/>
      </c>
      <c r="C219" s="4" t="n"/>
      <c r="D219" s="4" t="n"/>
      <c r="E219" s="9" t="n"/>
      <c r="F219" s="9" t="n"/>
      <c r="G219" s="9" t="n"/>
      <c r="H219" s="9">
        <f>IF(OR(E219&gt;0,F219&gt;0,G219&gt;0),SUM(E219:G219),"")</f>
        <v/>
      </c>
      <c r="I219" s="4" t="n"/>
      <c r="J219" s="4" t="n"/>
    </row>
    <row r="220">
      <c r="A220" s="12">
        <f>IF(B220=CONFIG!$G$5,A219+1,A219)</f>
        <v/>
      </c>
      <c r="B220" s="4">
        <f>IF(B219=CONFIG!$G$6,CONFIG!$G$5,CONFIG!$G$6)</f>
        <v/>
      </c>
      <c r="C220" s="4" t="n"/>
      <c r="D220" s="4" t="n"/>
      <c r="E220" s="9" t="n"/>
      <c r="F220" s="9" t="n"/>
      <c r="G220" s="9" t="n"/>
      <c r="H220" s="9">
        <f>IF(OR(E220&gt;0,F220&gt;0,G220&gt;0),SUM(E220:G220),"")</f>
        <v/>
      </c>
      <c r="I220" s="4" t="n"/>
      <c r="J220" s="4" t="n"/>
    </row>
    <row r="221">
      <c r="A221" s="12">
        <f>IF(B221=CONFIG!$G$5,A220+1,A220)</f>
        <v/>
      </c>
      <c r="B221" s="4">
        <f>IF(B220=CONFIG!$G$6,CONFIG!$G$5,CONFIG!$G$6)</f>
        <v/>
      </c>
      <c r="C221" s="4" t="n"/>
      <c r="D221" s="4" t="n"/>
      <c r="E221" s="9" t="n"/>
      <c r="F221" s="9" t="n"/>
      <c r="G221" s="9" t="n"/>
      <c r="H221" s="9">
        <f>IF(OR(E221&gt;0,F221&gt;0,G221&gt;0),SUM(E221:G221),"")</f>
        <v/>
      </c>
      <c r="I221" s="4" t="n"/>
      <c r="J221" s="4" t="n"/>
    </row>
    <row r="222">
      <c r="A222" s="12">
        <f>IF(B222=CONFIG!$G$5,A221+1,A221)</f>
        <v/>
      </c>
      <c r="B222" s="4">
        <f>IF(B221=CONFIG!$G$6,CONFIG!$G$5,CONFIG!$G$6)</f>
        <v/>
      </c>
      <c r="C222" s="4" t="n"/>
      <c r="D222" s="4" t="n"/>
      <c r="E222" s="9" t="n"/>
      <c r="F222" s="9" t="n"/>
      <c r="G222" s="9" t="n"/>
      <c r="H222" s="9">
        <f>IF(OR(E222&gt;0,F222&gt;0,G222&gt;0),SUM(E222:G222),"")</f>
        <v/>
      </c>
      <c r="I222" s="4" t="n"/>
      <c r="J222" s="4" t="n"/>
    </row>
    <row r="223">
      <c r="A223" s="12">
        <f>IF(B223=CONFIG!$G$5,A222+1,A222)</f>
        <v/>
      </c>
      <c r="B223" s="4">
        <f>IF(B222=CONFIG!$G$6,CONFIG!$G$5,CONFIG!$G$6)</f>
        <v/>
      </c>
      <c r="C223" s="4" t="n"/>
      <c r="D223" s="4" t="n"/>
      <c r="E223" s="9" t="n"/>
      <c r="F223" s="9" t="n"/>
      <c r="G223" s="9" t="n"/>
      <c r="H223" s="9">
        <f>IF(OR(E223&gt;0,F223&gt;0,G223&gt;0),SUM(E223:G223),"")</f>
        <v/>
      </c>
      <c r="I223" s="4" t="n"/>
      <c r="J223" s="4" t="n"/>
    </row>
    <row r="224">
      <c r="A224" s="12">
        <f>IF(B224=CONFIG!$G$5,A223+1,A223)</f>
        <v/>
      </c>
      <c r="B224" s="4">
        <f>IF(B223=CONFIG!$G$6,CONFIG!$G$5,CONFIG!$G$6)</f>
        <v/>
      </c>
      <c r="C224" s="4" t="n"/>
      <c r="D224" s="4" t="n"/>
      <c r="E224" s="9" t="n"/>
      <c r="F224" s="9" t="n"/>
      <c r="G224" s="9" t="n"/>
      <c r="H224" s="9">
        <f>IF(OR(E224&gt;0,F224&gt;0,G224&gt;0),SUM(E224:G224),"")</f>
        <v/>
      </c>
      <c r="I224" s="4" t="n"/>
      <c r="J224" s="4" t="n"/>
    </row>
    <row r="225">
      <c r="A225" s="12">
        <f>IF(B225=CONFIG!$G$5,A224+1,A224)</f>
        <v/>
      </c>
      <c r="B225" s="4">
        <f>IF(B224=CONFIG!$G$6,CONFIG!$G$5,CONFIG!$G$6)</f>
        <v/>
      </c>
      <c r="C225" s="4" t="n"/>
      <c r="D225" s="4" t="n"/>
      <c r="E225" s="9" t="n"/>
      <c r="F225" s="9" t="n"/>
      <c r="G225" s="9" t="n"/>
      <c r="H225" s="9">
        <f>IF(OR(E225&gt;0,F225&gt;0,G225&gt;0),SUM(E225:G225),"")</f>
        <v/>
      </c>
      <c r="I225" s="4" t="n"/>
      <c r="J225" s="4" t="n"/>
    </row>
    <row r="226">
      <c r="A226" s="12">
        <f>IF(B226=CONFIG!$G$5,A225+1,A225)</f>
        <v/>
      </c>
      <c r="B226" s="4">
        <f>IF(B225=CONFIG!$G$6,CONFIG!$G$5,CONFIG!$G$6)</f>
        <v/>
      </c>
      <c r="C226" s="4" t="n"/>
      <c r="D226" s="4" t="n"/>
      <c r="E226" s="9" t="n"/>
      <c r="F226" s="9" t="n"/>
      <c r="G226" s="9" t="n"/>
      <c r="H226" s="9">
        <f>IF(OR(E226&gt;0,F226&gt;0,G226&gt;0),SUM(E226:G226),"")</f>
        <v/>
      </c>
      <c r="I226" s="4" t="n"/>
      <c r="J226" s="4" t="n"/>
    </row>
    <row r="227">
      <c r="A227" s="12">
        <f>IF(B227=CONFIG!$G$5,A226+1,A226)</f>
        <v/>
      </c>
      <c r="B227" s="4">
        <f>IF(B226=CONFIG!$G$6,CONFIG!$G$5,CONFIG!$G$6)</f>
        <v/>
      </c>
      <c r="C227" s="4" t="n"/>
      <c r="D227" s="4" t="n"/>
      <c r="E227" s="9" t="n"/>
      <c r="F227" s="9" t="n"/>
      <c r="G227" s="9" t="n"/>
      <c r="H227" s="9">
        <f>IF(OR(E227&gt;0,F227&gt;0,G227&gt;0),SUM(E227:G227),"")</f>
        <v/>
      </c>
      <c r="I227" s="4" t="n"/>
      <c r="J227" s="4" t="n"/>
    </row>
    <row r="228">
      <c r="A228" s="12">
        <f>IF(B228=CONFIG!$G$5,A227+1,A227)</f>
        <v/>
      </c>
      <c r="B228" s="4">
        <f>IF(B227=CONFIG!$G$6,CONFIG!$G$5,CONFIG!$G$6)</f>
        <v/>
      </c>
      <c r="C228" s="4" t="n"/>
      <c r="D228" s="4" t="n"/>
      <c r="E228" s="9" t="n"/>
      <c r="F228" s="9" t="n"/>
      <c r="G228" s="9" t="n"/>
      <c r="H228" s="9">
        <f>IF(OR(E228&gt;0,F228&gt;0,G228&gt;0),SUM(E228:G228),"")</f>
        <v/>
      </c>
      <c r="I228" s="4" t="n"/>
      <c r="J228" s="4" t="n"/>
    </row>
    <row r="229">
      <c r="A229" s="12">
        <f>IF(B229=CONFIG!$G$5,A228+1,A228)</f>
        <v/>
      </c>
      <c r="B229" s="4">
        <f>IF(B228=CONFIG!$G$6,CONFIG!$G$5,CONFIG!$G$6)</f>
        <v/>
      </c>
      <c r="C229" s="4" t="n"/>
      <c r="D229" s="4" t="n"/>
      <c r="E229" s="9" t="n"/>
      <c r="F229" s="9" t="n"/>
      <c r="G229" s="9" t="n"/>
      <c r="H229" s="9">
        <f>IF(OR(E229&gt;0,F229&gt;0,G229&gt;0),SUM(E229:G229),"")</f>
        <v/>
      </c>
      <c r="I229" s="4" t="n"/>
      <c r="J229" s="4" t="n"/>
    </row>
    <row r="230">
      <c r="A230" s="12">
        <f>IF(B230=CONFIG!$G$5,A229+1,A229)</f>
        <v/>
      </c>
      <c r="B230" s="4">
        <f>IF(B229=CONFIG!$G$6,CONFIG!$G$5,CONFIG!$G$6)</f>
        <v/>
      </c>
      <c r="C230" s="4" t="n"/>
      <c r="D230" s="4" t="n"/>
      <c r="E230" s="9" t="n"/>
      <c r="F230" s="9" t="n"/>
      <c r="G230" s="9" t="n"/>
      <c r="H230" s="9">
        <f>IF(OR(E230&gt;0,F230&gt;0,G230&gt;0),SUM(E230:G230),"")</f>
        <v/>
      </c>
      <c r="I230" s="4" t="n"/>
      <c r="J230" s="4" t="n"/>
    </row>
    <row r="231">
      <c r="A231" s="12">
        <f>IF(B231=CONFIG!$G$5,A230+1,A230)</f>
        <v/>
      </c>
      <c r="B231" s="4">
        <f>IF(B230=CONFIG!$G$6,CONFIG!$G$5,CONFIG!$G$6)</f>
        <v/>
      </c>
      <c r="C231" s="4" t="n"/>
      <c r="D231" s="4" t="n"/>
      <c r="E231" s="9" t="n"/>
      <c r="F231" s="9" t="n"/>
      <c r="G231" s="9" t="n"/>
      <c r="H231" s="9">
        <f>IF(OR(E231&gt;0,F231&gt;0,G231&gt;0),SUM(E231:G231),"")</f>
        <v/>
      </c>
      <c r="I231" s="4" t="n"/>
      <c r="J231" s="4" t="n"/>
    </row>
    <row r="232">
      <c r="A232" s="12">
        <f>IF(B232=CONFIG!$G$5,A231+1,A231)</f>
        <v/>
      </c>
      <c r="B232" s="4">
        <f>IF(B231=CONFIG!$G$6,CONFIG!$G$5,CONFIG!$G$6)</f>
        <v/>
      </c>
      <c r="C232" s="4" t="n"/>
      <c r="D232" s="4" t="n"/>
      <c r="E232" s="9" t="n"/>
      <c r="F232" s="9" t="n"/>
      <c r="G232" s="9" t="n"/>
      <c r="H232" s="9">
        <f>IF(OR(E232&gt;0,F232&gt;0,G232&gt;0),SUM(E232:G232),"")</f>
        <v/>
      </c>
      <c r="I232" s="4" t="n"/>
      <c r="J232" s="4" t="n"/>
    </row>
    <row r="233">
      <c r="A233" s="12">
        <f>IF(B233=CONFIG!$G$5,A232+1,A232)</f>
        <v/>
      </c>
      <c r="B233" s="4">
        <f>IF(B232=CONFIG!$G$6,CONFIG!$G$5,CONFIG!$G$6)</f>
        <v/>
      </c>
      <c r="C233" s="4" t="n"/>
      <c r="D233" s="4" t="n"/>
      <c r="E233" s="9" t="n"/>
      <c r="F233" s="9" t="n"/>
      <c r="G233" s="9" t="n"/>
      <c r="H233" s="9">
        <f>IF(OR(E233&gt;0,F233&gt;0,G233&gt;0),SUM(E233:G233),"")</f>
        <v/>
      </c>
      <c r="I233" s="4" t="n"/>
      <c r="J233" s="4" t="n"/>
    </row>
    <row r="234">
      <c r="A234" s="12">
        <f>IF(B234=CONFIG!$G$5,A233+1,A233)</f>
        <v/>
      </c>
      <c r="B234" s="4">
        <f>IF(B233=CONFIG!$G$6,CONFIG!$G$5,CONFIG!$G$6)</f>
        <v/>
      </c>
      <c r="C234" s="4" t="n"/>
      <c r="D234" s="4" t="n"/>
      <c r="E234" s="9" t="n"/>
      <c r="F234" s="9" t="n"/>
      <c r="G234" s="9" t="n"/>
      <c r="H234" s="9">
        <f>IF(OR(E234&gt;0,F234&gt;0,G234&gt;0),SUM(E234:G234),"")</f>
        <v/>
      </c>
      <c r="I234" s="4" t="n"/>
      <c r="J234" s="4" t="n"/>
    </row>
    <row r="235">
      <c r="A235" s="12">
        <f>IF(B235=CONFIG!$G$5,A234+1,A234)</f>
        <v/>
      </c>
      <c r="B235" s="4">
        <f>IF(B234=CONFIG!$G$6,CONFIG!$G$5,CONFIG!$G$6)</f>
        <v/>
      </c>
      <c r="C235" s="4" t="n"/>
      <c r="D235" s="4" t="n"/>
      <c r="E235" s="9" t="n"/>
      <c r="F235" s="9" t="n"/>
      <c r="G235" s="9" t="n"/>
      <c r="H235" s="9">
        <f>IF(OR(E235&gt;0,F235&gt;0,G235&gt;0),SUM(E235:G235),"")</f>
        <v/>
      </c>
      <c r="I235" s="4" t="n"/>
      <c r="J235" s="4" t="n"/>
    </row>
    <row r="236">
      <c r="A236" s="12">
        <f>IF(B236=CONFIG!$G$5,A235+1,A235)</f>
        <v/>
      </c>
      <c r="B236" s="4">
        <f>IF(B235=CONFIG!$G$6,CONFIG!$G$5,CONFIG!$G$6)</f>
        <v/>
      </c>
      <c r="C236" s="4" t="n"/>
      <c r="D236" s="4" t="n"/>
      <c r="E236" s="9" t="n"/>
      <c r="F236" s="9" t="n"/>
      <c r="G236" s="9" t="n"/>
      <c r="H236" s="9">
        <f>IF(OR(E236&gt;0,F236&gt;0,G236&gt;0),SUM(E236:G236),"")</f>
        <v/>
      </c>
      <c r="I236" s="4" t="n"/>
      <c r="J236" s="4" t="n"/>
    </row>
    <row r="237">
      <c r="A237" s="12">
        <f>IF(B237=CONFIG!$G$5,A236+1,A236)</f>
        <v/>
      </c>
      <c r="B237" s="4">
        <f>IF(B236=CONFIG!$G$6,CONFIG!$G$5,CONFIG!$G$6)</f>
        <v/>
      </c>
      <c r="C237" s="4" t="n"/>
      <c r="D237" s="4" t="n"/>
      <c r="E237" s="9" t="n"/>
      <c r="F237" s="9" t="n"/>
      <c r="G237" s="9" t="n"/>
      <c r="H237" s="9">
        <f>IF(OR(E237&gt;0,F237&gt;0,G237&gt;0),SUM(E237:G237),"")</f>
        <v/>
      </c>
      <c r="I237" s="4" t="n"/>
      <c r="J237" s="4" t="n"/>
    </row>
    <row r="238">
      <c r="A238" s="12">
        <f>IF(B238=CONFIG!$G$5,A237+1,A237)</f>
        <v/>
      </c>
      <c r="B238" s="4">
        <f>IF(B237=CONFIG!$G$6,CONFIG!$G$5,CONFIG!$G$6)</f>
        <v/>
      </c>
      <c r="C238" s="4" t="n"/>
      <c r="D238" s="4" t="n"/>
      <c r="E238" s="9" t="n"/>
      <c r="F238" s="9" t="n"/>
      <c r="G238" s="9" t="n"/>
      <c r="H238" s="9">
        <f>IF(OR(E238&gt;0,F238&gt;0,G238&gt;0),SUM(E238:G238),"")</f>
        <v/>
      </c>
      <c r="I238" s="4" t="n"/>
      <c r="J238" s="4" t="n"/>
    </row>
    <row r="239">
      <c r="A239" s="12">
        <f>IF(B239=CONFIG!$G$5,A238+1,A238)</f>
        <v/>
      </c>
      <c r="B239" s="4">
        <f>IF(B238=CONFIG!$G$6,CONFIG!$G$5,CONFIG!$G$6)</f>
        <v/>
      </c>
      <c r="C239" s="4" t="n"/>
      <c r="D239" s="4" t="n"/>
      <c r="E239" s="9" t="n"/>
      <c r="F239" s="9" t="n"/>
      <c r="G239" s="9" t="n"/>
      <c r="H239" s="9">
        <f>IF(OR(E239&gt;0,F239&gt;0,G239&gt;0),SUM(E239:G239),"")</f>
        <v/>
      </c>
      <c r="I239" s="4" t="n"/>
      <c r="J239" s="4" t="n"/>
    </row>
    <row r="240">
      <c r="A240" s="12">
        <f>IF(B240=CONFIG!$G$5,A239+1,A239)</f>
        <v/>
      </c>
      <c r="B240" s="4">
        <f>IF(B239=CONFIG!$G$6,CONFIG!$G$5,CONFIG!$G$6)</f>
        <v/>
      </c>
      <c r="C240" s="4" t="n"/>
      <c r="D240" s="4" t="n"/>
      <c r="E240" s="9" t="n"/>
      <c r="F240" s="9" t="n"/>
      <c r="G240" s="9" t="n"/>
      <c r="H240" s="9">
        <f>IF(OR(E240&gt;0,F240&gt;0,G240&gt;0),SUM(E240:G240),"")</f>
        <v/>
      </c>
      <c r="I240" s="4" t="n"/>
      <c r="J240" s="4" t="n"/>
    </row>
    <row r="241">
      <c r="A241" s="12">
        <f>IF(B241=CONFIG!$G$5,A240+1,A240)</f>
        <v/>
      </c>
      <c r="B241" s="4">
        <f>IF(B240=CONFIG!$G$6,CONFIG!$G$5,CONFIG!$G$6)</f>
        <v/>
      </c>
      <c r="C241" s="4" t="n"/>
      <c r="D241" s="4" t="n"/>
      <c r="E241" s="9" t="n"/>
      <c r="F241" s="9" t="n"/>
      <c r="G241" s="9" t="n"/>
      <c r="H241" s="9">
        <f>IF(OR(E241&gt;0,F241&gt;0,G241&gt;0),SUM(E241:G241),"")</f>
        <v/>
      </c>
      <c r="I241" s="4" t="n"/>
      <c r="J241" s="4" t="n"/>
    </row>
    <row r="242">
      <c r="A242" s="12">
        <f>IF(B242=CONFIG!$G$5,A241+1,A241)</f>
        <v/>
      </c>
      <c r="B242" s="4">
        <f>IF(B241=CONFIG!$G$6,CONFIG!$G$5,CONFIG!$G$6)</f>
        <v/>
      </c>
      <c r="C242" s="4" t="n"/>
      <c r="D242" s="4" t="n"/>
      <c r="E242" s="9" t="n"/>
      <c r="F242" s="9" t="n"/>
      <c r="G242" s="9" t="n"/>
      <c r="H242" s="9">
        <f>IF(OR(E242&gt;0,F242&gt;0,G242&gt;0),SUM(E242:G242),"")</f>
        <v/>
      </c>
      <c r="I242" s="4" t="n"/>
      <c r="J242" s="4" t="n"/>
    </row>
    <row r="243">
      <c r="A243" s="12">
        <f>IF(B243=CONFIG!$G$5,A242+1,A242)</f>
        <v/>
      </c>
      <c r="B243" s="4">
        <f>IF(B242=CONFIG!$G$6,CONFIG!$G$5,CONFIG!$G$6)</f>
        <v/>
      </c>
      <c r="C243" s="4" t="n"/>
      <c r="D243" s="4" t="n"/>
      <c r="E243" s="9" t="n"/>
      <c r="F243" s="9" t="n"/>
      <c r="G243" s="9" t="n"/>
      <c r="H243" s="9">
        <f>IF(OR(E243&gt;0,F243&gt;0,G243&gt;0),SUM(E243:G243),"")</f>
        <v/>
      </c>
      <c r="I243" s="4" t="n"/>
      <c r="J243" s="4" t="n"/>
    </row>
    <row r="244">
      <c r="A244" s="12">
        <f>IF(B244=CONFIG!$G$5,A243+1,A243)</f>
        <v/>
      </c>
      <c r="B244" s="4">
        <f>IF(B243=CONFIG!$G$6,CONFIG!$G$5,CONFIG!$G$6)</f>
        <v/>
      </c>
      <c r="C244" s="4" t="n"/>
      <c r="D244" s="4" t="n"/>
      <c r="E244" s="9" t="n"/>
      <c r="F244" s="9" t="n"/>
      <c r="G244" s="9" t="n"/>
      <c r="H244" s="9">
        <f>IF(OR(E244&gt;0,F244&gt;0,G244&gt;0),SUM(E244:G244),"")</f>
        <v/>
      </c>
      <c r="I244" s="4" t="n"/>
      <c r="J244" s="4" t="n"/>
    </row>
    <row r="245">
      <c r="A245" s="12">
        <f>IF(B245=CONFIG!$G$5,A244+1,A244)</f>
        <v/>
      </c>
      <c r="B245" s="4">
        <f>IF(B244=CONFIG!$G$6,CONFIG!$G$5,CONFIG!$G$6)</f>
        <v/>
      </c>
      <c r="C245" s="4" t="n"/>
      <c r="D245" s="4" t="n"/>
      <c r="E245" s="9" t="n"/>
      <c r="F245" s="9" t="n"/>
      <c r="G245" s="9" t="n"/>
      <c r="H245" s="9">
        <f>IF(OR(E245&gt;0,F245&gt;0,G245&gt;0),SUM(E245:G245),"")</f>
        <v/>
      </c>
      <c r="I245" s="4" t="n"/>
      <c r="J245" s="4" t="n"/>
    </row>
    <row r="246">
      <c r="A246" s="12">
        <f>IF(B246=CONFIG!$G$5,A245+1,A245)</f>
        <v/>
      </c>
      <c r="B246" s="4">
        <f>IF(B245=CONFIG!$G$6,CONFIG!$G$5,CONFIG!$G$6)</f>
        <v/>
      </c>
      <c r="C246" s="4" t="n"/>
      <c r="D246" s="4" t="n"/>
      <c r="E246" s="9" t="n"/>
      <c r="F246" s="9" t="n"/>
      <c r="G246" s="9" t="n"/>
      <c r="H246" s="9">
        <f>IF(OR(E246&gt;0,F246&gt;0,G246&gt;0),SUM(E246:G246),"")</f>
        <v/>
      </c>
      <c r="I246" s="4" t="n"/>
      <c r="J246" s="4" t="n"/>
    </row>
    <row r="247">
      <c r="A247" s="12">
        <f>IF(B247=CONFIG!$G$5,A246+1,A246)</f>
        <v/>
      </c>
      <c r="B247" s="4">
        <f>IF(B246=CONFIG!$G$6,CONFIG!$G$5,CONFIG!$G$6)</f>
        <v/>
      </c>
      <c r="C247" s="4" t="n"/>
      <c r="D247" s="4" t="n"/>
      <c r="E247" s="9" t="n"/>
      <c r="F247" s="9" t="n"/>
      <c r="G247" s="9" t="n"/>
      <c r="H247" s="9">
        <f>IF(OR(E247&gt;0,F247&gt;0,G247&gt;0),SUM(E247:G247),"")</f>
        <v/>
      </c>
      <c r="I247" s="4" t="n"/>
      <c r="J247" s="4" t="n"/>
    </row>
    <row r="248">
      <c r="A248" s="12">
        <f>IF(B248=CONFIG!$G$5,A247+1,A247)</f>
        <v/>
      </c>
      <c r="B248" s="4">
        <f>IF(B247=CONFIG!$G$6,CONFIG!$G$5,CONFIG!$G$6)</f>
        <v/>
      </c>
      <c r="C248" s="4" t="n"/>
      <c r="D248" s="4" t="n"/>
      <c r="E248" s="9" t="n"/>
      <c r="F248" s="9" t="n"/>
      <c r="G248" s="9" t="n"/>
      <c r="H248" s="9">
        <f>IF(OR(E248&gt;0,F248&gt;0,G248&gt;0),SUM(E248:G248),"")</f>
        <v/>
      </c>
      <c r="I248" s="4" t="n"/>
      <c r="J248" s="4" t="n"/>
    </row>
    <row r="249">
      <c r="A249" s="12">
        <f>IF(B249=CONFIG!$G$5,A248+1,A248)</f>
        <v/>
      </c>
      <c r="B249" s="4">
        <f>IF(B248=CONFIG!$G$6,CONFIG!$G$5,CONFIG!$G$6)</f>
        <v/>
      </c>
      <c r="C249" s="4" t="n"/>
      <c r="D249" s="4" t="n"/>
      <c r="E249" s="9" t="n"/>
      <c r="F249" s="9" t="n"/>
      <c r="G249" s="9" t="n"/>
      <c r="H249" s="9">
        <f>IF(OR(E249&gt;0,F249&gt;0,G249&gt;0),SUM(E249:G249),"")</f>
        <v/>
      </c>
      <c r="I249" s="4" t="n"/>
      <c r="J249" s="4" t="n"/>
    </row>
    <row r="250">
      <c r="A250" s="12">
        <f>IF(B250=CONFIG!$G$5,A249+1,A249)</f>
        <v/>
      </c>
      <c r="B250" s="4">
        <f>IF(B249=CONFIG!$G$6,CONFIG!$G$5,CONFIG!$G$6)</f>
        <v/>
      </c>
      <c r="C250" s="4" t="n"/>
      <c r="D250" s="4" t="n"/>
      <c r="E250" s="9" t="n"/>
      <c r="F250" s="9" t="n"/>
      <c r="G250" s="9" t="n"/>
      <c r="H250" s="9">
        <f>IF(OR(E250&gt;0,F250&gt;0,G250&gt;0),SUM(E250:G250),"")</f>
        <v/>
      </c>
      <c r="I250" s="4" t="n"/>
      <c r="J250" s="4" t="n"/>
    </row>
    <row r="251">
      <c r="A251" s="12">
        <f>IF(B251=CONFIG!$G$5,A250+1,A250)</f>
        <v/>
      </c>
      <c r="B251" s="4">
        <f>IF(B250=CONFIG!$G$6,CONFIG!$G$5,CONFIG!$G$6)</f>
        <v/>
      </c>
      <c r="C251" s="4" t="n"/>
      <c r="D251" s="4" t="n"/>
      <c r="E251" s="9" t="n"/>
      <c r="F251" s="9" t="n"/>
      <c r="G251" s="9" t="n"/>
      <c r="H251" s="9">
        <f>IF(OR(E251&gt;0,F251&gt;0,G251&gt;0),SUM(E251:G251),"")</f>
        <v/>
      </c>
      <c r="I251" s="4" t="n"/>
      <c r="J251" s="4" t="n"/>
    </row>
    <row r="252">
      <c r="A252" s="12">
        <f>IF(B252=CONFIG!$G$5,A251+1,A251)</f>
        <v/>
      </c>
      <c r="B252" s="4">
        <f>IF(B251=CONFIG!$G$6,CONFIG!$G$5,CONFIG!$G$6)</f>
        <v/>
      </c>
      <c r="C252" s="4" t="n"/>
      <c r="D252" s="4" t="n"/>
      <c r="E252" s="9" t="n"/>
      <c r="F252" s="9" t="n"/>
      <c r="G252" s="9" t="n"/>
      <c r="H252" s="9">
        <f>IF(OR(E252&gt;0,F252&gt;0,G252&gt;0),SUM(E252:G252),"")</f>
        <v/>
      </c>
      <c r="I252" s="4" t="n"/>
      <c r="J252" s="4" t="n"/>
    </row>
    <row r="253">
      <c r="A253" s="12">
        <f>IF(B253=CONFIG!$G$5,A252+1,A252)</f>
        <v/>
      </c>
      <c r="B253" s="4">
        <f>IF(B252=CONFIG!$G$6,CONFIG!$G$5,CONFIG!$G$6)</f>
        <v/>
      </c>
      <c r="C253" s="4" t="n"/>
      <c r="D253" s="4" t="n"/>
      <c r="E253" s="9" t="n"/>
      <c r="F253" s="9" t="n"/>
      <c r="G253" s="9" t="n"/>
      <c r="H253" s="9">
        <f>IF(OR(E253&gt;0,F253&gt;0,G253&gt;0),SUM(E253:G253),"")</f>
        <v/>
      </c>
      <c r="I253" s="4" t="n"/>
      <c r="J253" s="4" t="n"/>
    </row>
    <row r="254">
      <c r="A254" s="12">
        <f>IF(B254=CONFIG!$G$5,A253+1,A253)</f>
        <v/>
      </c>
      <c r="B254" s="4">
        <f>IF(B253=CONFIG!$G$6,CONFIG!$G$5,CONFIG!$G$6)</f>
        <v/>
      </c>
      <c r="C254" s="4" t="n"/>
      <c r="D254" s="4" t="n"/>
      <c r="E254" s="9" t="n"/>
      <c r="F254" s="9" t="n"/>
      <c r="G254" s="9" t="n"/>
      <c r="H254" s="9">
        <f>IF(OR(E254&gt;0,F254&gt;0,G254&gt;0),SUM(E254:G254),"")</f>
        <v/>
      </c>
      <c r="I254" s="4" t="n"/>
      <c r="J254" s="4" t="n"/>
    </row>
    <row r="255">
      <c r="A255" s="12">
        <f>IF(B255=CONFIG!$G$5,A254+1,A254)</f>
        <v/>
      </c>
      <c r="B255" s="4">
        <f>IF(B254=CONFIG!$G$6,CONFIG!$G$5,CONFIG!$G$6)</f>
        <v/>
      </c>
      <c r="C255" s="4" t="n"/>
      <c r="D255" s="4" t="n"/>
      <c r="E255" s="9" t="n"/>
      <c r="F255" s="9" t="n"/>
      <c r="G255" s="9" t="n"/>
      <c r="H255" s="9">
        <f>IF(OR(E255&gt;0,F255&gt;0,G255&gt;0),SUM(E255:G255),"")</f>
        <v/>
      </c>
      <c r="I255" s="4" t="n"/>
      <c r="J255" s="4" t="n"/>
    </row>
    <row r="256">
      <c r="A256" s="12">
        <f>IF(B256=CONFIG!$G$5,A255+1,A255)</f>
        <v/>
      </c>
      <c r="B256" s="4">
        <f>IF(B255=CONFIG!$G$6,CONFIG!$G$5,CONFIG!$G$6)</f>
        <v/>
      </c>
      <c r="C256" s="4" t="n"/>
      <c r="D256" s="4" t="n"/>
      <c r="E256" s="9" t="n"/>
      <c r="F256" s="9" t="n"/>
      <c r="G256" s="9" t="n"/>
      <c r="H256" s="9">
        <f>IF(OR(E256&gt;0,F256&gt;0,G256&gt;0),SUM(E256:G256),"")</f>
        <v/>
      </c>
      <c r="I256" s="4" t="n"/>
      <c r="J256" s="4" t="n"/>
    </row>
    <row r="257">
      <c r="A257" s="12">
        <f>IF(B257=CONFIG!$G$5,A256+1,A256)</f>
        <v/>
      </c>
      <c r="B257" s="4">
        <f>IF(B256=CONFIG!$G$6,CONFIG!$G$5,CONFIG!$G$6)</f>
        <v/>
      </c>
      <c r="C257" s="4" t="n"/>
      <c r="D257" s="4" t="n"/>
      <c r="E257" s="9" t="n"/>
      <c r="F257" s="9" t="n"/>
      <c r="G257" s="9" t="n"/>
      <c r="H257" s="9">
        <f>IF(OR(E257&gt;0,F257&gt;0,G257&gt;0),SUM(E257:G257),"")</f>
        <v/>
      </c>
      <c r="I257" s="4" t="n"/>
      <c r="J257" s="4" t="n"/>
    </row>
    <row r="258">
      <c r="A258" s="12">
        <f>IF(B258=CONFIG!$G$5,A257+1,A257)</f>
        <v/>
      </c>
      <c r="B258" s="4">
        <f>IF(B257=CONFIG!$G$6,CONFIG!$G$5,CONFIG!$G$6)</f>
        <v/>
      </c>
      <c r="C258" s="4" t="n"/>
      <c r="D258" s="4" t="n"/>
      <c r="E258" s="9" t="n"/>
      <c r="F258" s="9" t="n"/>
      <c r="G258" s="9" t="n"/>
      <c r="H258" s="9">
        <f>IF(OR(E258&gt;0,F258&gt;0,G258&gt;0),SUM(E258:G258),"")</f>
        <v/>
      </c>
      <c r="I258" s="4" t="n"/>
      <c r="J258" s="4" t="n"/>
    </row>
    <row r="259">
      <c r="A259" s="12">
        <f>IF(B259=CONFIG!$G$5,A258+1,A258)</f>
        <v/>
      </c>
      <c r="B259" s="4">
        <f>IF(B258=CONFIG!$G$6,CONFIG!$G$5,CONFIG!$G$6)</f>
        <v/>
      </c>
      <c r="C259" s="4" t="n"/>
      <c r="D259" s="4" t="n"/>
      <c r="E259" s="9" t="n"/>
      <c r="F259" s="9" t="n"/>
      <c r="G259" s="9" t="n"/>
      <c r="H259" s="9">
        <f>IF(OR(E259&gt;0,F259&gt;0,G259&gt;0),SUM(E259:G259),"")</f>
        <v/>
      </c>
      <c r="I259" s="4" t="n"/>
      <c r="J259" s="4" t="n"/>
    </row>
    <row r="260">
      <c r="A260" s="12">
        <f>IF(B260=CONFIG!$G$5,A259+1,A259)</f>
        <v/>
      </c>
      <c r="B260" s="4">
        <f>IF(B259=CONFIG!$G$6,CONFIG!$G$5,CONFIG!$G$6)</f>
        <v/>
      </c>
      <c r="C260" s="4" t="n"/>
      <c r="D260" s="4" t="n"/>
      <c r="E260" s="9" t="n"/>
      <c r="F260" s="9" t="n"/>
      <c r="G260" s="9" t="n"/>
      <c r="H260" s="9">
        <f>IF(OR(E260&gt;0,F260&gt;0,G260&gt;0),SUM(E260:G260),"")</f>
        <v/>
      </c>
      <c r="I260" s="4" t="n"/>
      <c r="J260" s="4" t="n"/>
    </row>
    <row r="261">
      <c r="A261" s="12">
        <f>IF(B261=CONFIG!$G$5,A260+1,A260)</f>
        <v/>
      </c>
      <c r="B261" s="4">
        <f>IF(B260=CONFIG!$G$6,CONFIG!$G$5,CONFIG!$G$6)</f>
        <v/>
      </c>
      <c r="C261" s="4" t="n"/>
      <c r="D261" s="4" t="n"/>
      <c r="E261" s="9" t="n"/>
      <c r="F261" s="9" t="n"/>
      <c r="G261" s="9" t="n"/>
      <c r="H261" s="9">
        <f>IF(OR(E261&gt;0,F261&gt;0,G261&gt;0),SUM(E261:G261),"")</f>
        <v/>
      </c>
      <c r="I261" s="4" t="n"/>
      <c r="J261" s="4" t="n"/>
    </row>
    <row r="262">
      <c r="A262" s="12">
        <f>IF(B262=CONFIG!$G$5,A261+1,A261)</f>
        <v/>
      </c>
      <c r="B262" s="4">
        <f>IF(B261=CONFIG!$G$6,CONFIG!$G$5,CONFIG!$G$6)</f>
        <v/>
      </c>
      <c r="C262" s="4" t="n"/>
      <c r="D262" s="4" t="n"/>
      <c r="E262" s="9" t="n"/>
      <c r="F262" s="9" t="n"/>
      <c r="G262" s="9" t="n"/>
      <c r="H262" s="9">
        <f>IF(OR(E262&gt;0,F262&gt;0,G262&gt;0),SUM(E262:G262),"")</f>
        <v/>
      </c>
      <c r="I262" s="4" t="n"/>
      <c r="J262" s="4" t="n"/>
    </row>
    <row r="263">
      <c r="A263" s="12">
        <f>IF(B263=CONFIG!$G$5,A262+1,A262)</f>
        <v/>
      </c>
      <c r="B263" s="4">
        <f>IF(B262=CONFIG!$G$6,CONFIG!$G$5,CONFIG!$G$6)</f>
        <v/>
      </c>
      <c r="C263" s="4" t="n"/>
      <c r="D263" s="4" t="n"/>
      <c r="E263" s="9" t="n"/>
      <c r="F263" s="9" t="n"/>
      <c r="G263" s="9" t="n"/>
      <c r="H263" s="9">
        <f>IF(OR(E263&gt;0,F263&gt;0,G263&gt;0),SUM(E263:G263),"")</f>
        <v/>
      </c>
      <c r="I263" s="4" t="n"/>
      <c r="J263" s="4" t="n"/>
    </row>
    <row r="264">
      <c r="A264" s="12">
        <f>IF(B264=CONFIG!$G$5,A263+1,A263)</f>
        <v/>
      </c>
      <c r="B264" s="4">
        <f>IF(B263=CONFIG!$G$6,CONFIG!$G$5,CONFIG!$G$6)</f>
        <v/>
      </c>
      <c r="C264" s="4" t="n"/>
      <c r="D264" s="4" t="n"/>
      <c r="E264" s="9" t="n"/>
      <c r="F264" s="9" t="n"/>
      <c r="G264" s="9" t="n"/>
      <c r="H264" s="9">
        <f>IF(OR(E264&gt;0,F264&gt;0,G264&gt;0),SUM(E264:G264),"")</f>
        <v/>
      </c>
      <c r="I264" s="4" t="n"/>
      <c r="J264" s="4" t="n"/>
    </row>
    <row r="265">
      <c r="A265" s="12">
        <f>IF(B265=CONFIG!$G$5,A264+1,A264)</f>
        <v/>
      </c>
      <c r="B265" s="4">
        <f>IF(B264=CONFIG!$G$6,CONFIG!$G$5,CONFIG!$G$6)</f>
        <v/>
      </c>
      <c r="C265" s="4" t="n"/>
      <c r="D265" s="4" t="n"/>
      <c r="E265" s="9" t="n"/>
      <c r="F265" s="9" t="n"/>
      <c r="G265" s="9" t="n"/>
      <c r="H265" s="9">
        <f>IF(OR(E265&gt;0,F265&gt;0,G265&gt;0),SUM(E265:G265),"")</f>
        <v/>
      </c>
      <c r="I265" s="4" t="n"/>
      <c r="J265" s="4" t="n"/>
    </row>
    <row r="266">
      <c r="A266" s="12">
        <f>IF(B266=CONFIG!$G$5,A265+1,A265)</f>
        <v/>
      </c>
      <c r="B266" s="4">
        <f>IF(B265=CONFIG!$G$6,CONFIG!$G$5,CONFIG!$G$6)</f>
        <v/>
      </c>
      <c r="C266" s="4" t="n"/>
      <c r="D266" s="4" t="n"/>
      <c r="E266" s="9" t="n"/>
      <c r="F266" s="9" t="n"/>
      <c r="G266" s="9" t="n"/>
      <c r="H266" s="9">
        <f>IF(OR(E266&gt;0,F266&gt;0,G266&gt;0),SUM(E266:G266),"")</f>
        <v/>
      </c>
      <c r="I266" s="4" t="n"/>
      <c r="J266" s="4" t="n"/>
    </row>
    <row r="267">
      <c r="A267" s="12">
        <f>IF(B267=CONFIG!$G$5,A266+1,A266)</f>
        <v/>
      </c>
      <c r="B267" s="4">
        <f>IF(B266=CONFIG!$G$6,CONFIG!$G$5,CONFIG!$G$6)</f>
        <v/>
      </c>
      <c r="C267" s="4" t="n"/>
      <c r="D267" s="4" t="n"/>
      <c r="E267" s="9" t="n"/>
      <c r="F267" s="9" t="n"/>
      <c r="G267" s="9" t="n"/>
      <c r="H267" s="9">
        <f>IF(OR(E267&gt;0,F267&gt;0,G267&gt;0),SUM(E267:G267),"")</f>
        <v/>
      </c>
      <c r="I267" s="4" t="n"/>
      <c r="J267" s="4" t="n"/>
    </row>
    <row r="268">
      <c r="A268" s="12">
        <f>IF(B268=CONFIG!$G$5,A267+1,A267)</f>
        <v/>
      </c>
      <c r="B268" s="4">
        <f>IF(B267=CONFIG!$G$6,CONFIG!$G$5,CONFIG!$G$6)</f>
        <v/>
      </c>
      <c r="C268" s="4" t="n"/>
      <c r="D268" s="4" t="n"/>
      <c r="E268" s="9" t="n"/>
      <c r="F268" s="9" t="n"/>
      <c r="G268" s="9" t="n"/>
      <c r="H268" s="9">
        <f>IF(OR(E268&gt;0,F268&gt;0,G268&gt;0),SUM(E268:G268),"")</f>
        <v/>
      </c>
      <c r="I268" s="4" t="n"/>
      <c r="J268" s="4" t="n"/>
    </row>
    <row r="269">
      <c r="A269" s="12">
        <f>IF(B269=CONFIG!$G$5,A268+1,A268)</f>
        <v/>
      </c>
      <c r="B269" s="4">
        <f>IF(B268=CONFIG!$G$6,CONFIG!$G$5,CONFIG!$G$6)</f>
        <v/>
      </c>
      <c r="C269" s="4" t="n"/>
      <c r="D269" s="4" t="n"/>
      <c r="E269" s="9" t="n"/>
      <c r="F269" s="9" t="n"/>
      <c r="G269" s="9" t="n"/>
      <c r="H269" s="9">
        <f>IF(OR(E269&gt;0,F269&gt;0,G269&gt;0),SUM(E269:G269),"")</f>
        <v/>
      </c>
      <c r="I269" s="4" t="n"/>
      <c r="J269" s="4" t="n"/>
    </row>
    <row r="270">
      <c r="A270" s="12">
        <f>IF(B270=CONFIG!$G$5,A269+1,A269)</f>
        <v/>
      </c>
      <c r="B270" s="4">
        <f>IF(B269=CONFIG!$G$6,CONFIG!$G$5,CONFIG!$G$6)</f>
        <v/>
      </c>
      <c r="C270" s="4" t="n"/>
      <c r="D270" s="4" t="n"/>
      <c r="E270" s="9" t="n"/>
      <c r="F270" s="9" t="n"/>
      <c r="G270" s="9" t="n"/>
      <c r="H270" s="9">
        <f>IF(OR(E270&gt;0,F270&gt;0,G270&gt;0),SUM(E270:G270),"")</f>
        <v/>
      </c>
      <c r="I270" s="4" t="n"/>
      <c r="J270" s="4" t="n"/>
    </row>
    <row r="271">
      <c r="A271" s="12">
        <f>IF(B271=CONFIG!$G$5,A270+1,A270)</f>
        <v/>
      </c>
      <c r="B271" s="4">
        <f>IF(B270=CONFIG!$G$6,CONFIG!$G$5,CONFIG!$G$6)</f>
        <v/>
      </c>
      <c r="C271" s="4" t="n"/>
      <c r="D271" s="4" t="n"/>
      <c r="E271" s="9" t="n"/>
      <c r="F271" s="9" t="n"/>
      <c r="G271" s="9" t="n"/>
      <c r="H271" s="9">
        <f>IF(OR(E271&gt;0,F271&gt;0,G271&gt;0),SUM(E271:G271),"")</f>
        <v/>
      </c>
      <c r="I271" s="4" t="n"/>
      <c r="J271" s="4" t="n"/>
    </row>
    <row r="272">
      <c r="A272" s="12">
        <f>IF(B272=CONFIG!$G$5,A271+1,A271)</f>
        <v/>
      </c>
      <c r="B272" s="4">
        <f>IF(B271=CONFIG!$G$6,CONFIG!$G$5,CONFIG!$G$6)</f>
        <v/>
      </c>
      <c r="C272" s="4" t="n"/>
      <c r="D272" s="4" t="n"/>
      <c r="E272" s="9" t="n"/>
      <c r="F272" s="9" t="n"/>
      <c r="G272" s="9" t="n"/>
      <c r="H272" s="9">
        <f>IF(OR(E272&gt;0,F272&gt;0,G272&gt;0),SUM(E272:G272),"")</f>
        <v/>
      </c>
      <c r="I272" s="4" t="n"/>
      <c r="J272" s="4" t="n"/>
    </row>
    <row r="273">
      <c r="A273" s="12">
        <f>IF(B273=CONFIG!$G$5,A272+1,A272)</f>
        <v/>
      </c>
      <c r="B273" s="4">
        <f>IF(B272=CONFIG!$G$6,CONFIG!$G$5,CONFIG!$G$6)</f>
        <v/>
      </c>
      <c r="C273" s="4" t="n"/>
      <c r="D273" s="4" t="n"/>
      <c r="E273" s="9" t="n"/>
      <c r="F273" s="9" t="n"/>
      <c r="G273" s="9" t="n"/>
      <c r="H273" s="9">
        <f>IF(OR(E273&gt;0,F273&gt;0,G273&gt;0),SUM(E273:G273),"")</f>
        <v/>
      </c>
      <c r="I273" s="4" t="n"/>
      <c r="J273" s="4" t="n"/>
    </row>
    <row r="274">
      <c r="A274" s="12">
        <f>IF(B274=CONFIG!$G$5,A273+1,A273)</f>
        <v/>
      </c>
      <c r="B274" s="4">
        <f>IF(B273=CONFIG!$G$6,CONFIG!$G$5,CONFIG!$G$6)</f>
        <v/>
      </c>
      <c r="C274" s="4" t="n"/>
      <c r="D274" s="4" t="n"/>
      <c r="E274" s="9" t="n"/>
      <c r="F274" s="9" t="n"/>
      <c r="G274" s="9" t="n"/>
      <c r="H274" s="9">
        <f>IF(OR(E274&gt;0,F274&gt;0,G274&gt;0),SUM(E274:G274),"")</f>
        <v/>
      </c>
      <c r="I274" s="4" t="n"/>
      <c r="J274" s="4" t="n"/>
    </row>
    <row r="275">
      <c r="A275" s="12">
        <f>IF(B275=CONFIG!$G$5,A274+1,A274)</f>
        <v/>
      </c>
      <c r="B275" s="4">
        <f>IF(B274=CONFIG!$G$6,CONFIG!$G$5,CONFIG!$G$6)</f>
        <v/>
      </c>
      <c r="C275" s="4" t="n"/>
      <c r="D275" s="4" t="n"/>
      <c r="E275" s="9" t="n"/>
      <c r="F275" s="9" t="n"/>
      <c r="G275" s="9" t="n"/>
      <c r="H275" s="9">
        <f>IF(OR(E275&gt;0,F275&gt;0,G275&gt;0),SUM(E275:G275),"")</f>
        <v/>
      </c>
      <c r="I275" s="4" t="n"/>
      <c r="J275" s="4" t="n"/>
    </row>
    <row r="276">
      <c r="A276" s="12">
        <f>IF(B276=CONFIG!$G$5,A275+1,A275)</f>
        <v/>
      </c>
      <c r="B276" s="4">
        <f>IF(B275=CONFIG!$G$6,CONFIG!$G$5,CONFIG!$G$6)</f>
        <v/>
      </c>
      <c r="C276" s="4" t="n"/>
      <c r="D276" s="4" t="n"/>
      <c r="E276" s="9" t="n"/>
      <c r="F276" s="9" t="n"/>
      <c r="G276" s="9" t="n"/>
      <c r="H276" s="9">
        <f>IF(OR(E276&gt;0,F276&gt;0,G276&gt;0),SUM(E276:G276),"")</f>
        <v/>
      </c>
      <c r="I276" s="4" t="n"/>
      <c r="J276" s="4" t="n"/>
    </row>
    <row r="277">
      <c r="A277" s="12">
        <f>IF(B277=CONFIG!$G$5,A276+1,A276)</f>
        <v/>
      </c>
      <c r="B277" s="4">
        <f>IF(B276=CONFIG!$G$6,CONFIG!$G$5,CONFIG!$G$6)</f>
        <v/>
      </c>
      <c r="C277" s="4" t="n"/>
      <c r="D277" s="4" t="n"/>
      <c r="E277" s="9" t="n"/>
      <c r="F277" s="9" t="n"/>
      <c r="G277" s="9" t="n"/>
      <c r="H277" s="9">
        <f>IF(OR(E277&gt;0,F277&gt;0,G277&gt;0),SUM(E277:G277),"")</f>
        <v/>
      </c>
      <c r="I277" s="4" t="n"/>
      <c r="J277" s="4" t="n"/>
    </row>
    <row r="278">
      <c r="A278" s="12">
        <f>IF(B278=CONFIG!$G$5,A277+1,A277)</f>
        <v/>
      </c>
      <c r="B278" s="4">
        <f>IF(B277=CONFIG!$G$6,CONFIG!$G$5,CONFIG!$G$6)</f>
        <v/>
      </c>
      <c r="C278" s="4" t="n"/>
      <c r="D278" s="4" t="n"/>
      <c r="E278" s="9" t="n"/>
      <c r="F278" s="9" t="n"/>
      <c r="G278" s="9" t="n"/>
      <c r="H278" s="9">
        <f>IF(OR(E278&gt;0,F278&gt;0,G278&gt;0),SUM(E278:G278),"")</f>
        <v/>
      </c>
      <c r="I278" s="4" t="n"/>
      <c r="J278" s="4" t="n"/>
    </row>
    <row r="279">
      <c r="A279" s="12">
        <f>IF(B279=CONFIG!$G$5,A278+1,A278)</f>
        <v/>
      </c>
      <c r="B279" s="4">
        <f>IF(B278=CONFIG!$G$6,CONFIG!$G$5,CONFIG!$G$6)</f>
        <v/>
      </c>
      <c r="C279" s="4" t="n"/>
      <c r="D279" s="4" t="n"/>
      <c r="E279" s="9" t="n"/>
      <c r="F279" s="9" t="n"/>
      <c r="G279" s="9" t="n"/>
      <c r="H279" s="9">
        <f>IF(OR(E279&gt;0,F279&gt;0,G279&gt;0),SUM(E279:G279),"")</f>
        <v/>
      </c>
      <c r="I279" s="4" t="n"/>
      <c r="J279" s="4" t="n"/>
    </row>
    <row r="280">
      <c r="A280" s="12">
        <f>IF(B280=CONFIG!$G$5,A279+1,A279)</f>
        <v/>
      </c>
      <c r="B280" s="4">
        <f>IF(B279=CONFIG!$G$6,CONFIG!$G$5,CONFIG!$G$6)</f>
        <v/>
      </c>
      <c r="C280" s="4" t="n"/>
      <c r="D280" s="4" t="n"/>
      <c r="E280" s="9" t="n"/>
      <c r="F280" s="9" t="n"/>
      <c r="G280" s="9" t="n"/>
      <c r="H280" s="9">
        <f>IF(OR(E280&gt;0,F280&gt;0,G280&gt;0),SUM(E280:G280),"")</f>
        <v/>
      </c>
      <c r="I280" s="4" t="n"/>
      <c r="J280" s="4" t="n"/>
    </row>
    <row r="281">
      <c r="A281" s="12">
        <f>IF(B281=CONFIG!$G$5,A280+1,A280)</f>
        <v/>
      </c>
      <c r="B281" s="4">
        <f>IF(B280=CONFIG!$G$6,CONFIG!$G$5,CONFIG!$G$6)</f>
        <v/>
      </c>
      <c r="C281" s="4" t="n"/>
      <c r="D281" s="4" t="n"/>
      <c r="E281" s="9" t="n"/>
      <c r="F281" s="9" t="n"/>
      <c r="G281" s="9" t="n"/>
      <c r="H281" s="9">
        <f>IF(OR(E281&gt;0,F281&gt;0,G281&gt;0),SUM(E281:G281),"")</f>
        <v/>
      </c>
      <c r="I281" s="4" t="n"/>
      <c r="J281" s="4" t="n"/>
    </row>
    <row r="282">
      <c r="A282" s="12">
        <f>IF(B282=CONFIG!$G$5,A281+1,A281)</f>
        <v/>
      </c>
      <c r="B282" s="4">
        <f>IF(B281=CONFIG!$G$6,CONFIG!$G$5,CONFIG!$G$6)</f>
        <v/>
      </c>
      <c r="C282" s="4" t="n"/>
      <c r="D282" s="4" t="n"/>
      <c r="E282" s="9" t="n"/>
      <c r="F282" s="9" t="n"/>
      <c r="G282" s="9" t="n"/>
      <c r="H282" s="9">
        <f>IF(OR(E282&gt;0,F282&gt;0,G282&gt;0),SUM(E282:G282),"")</f>
        <v/>
      </c>
      <c r="I282" s="4" t="n"/>
      <c r="J282" s="4" t="n"/>
    </row>
    <row r="283">
      <c r="A283" s="12">
        <f>IF(B283=CONFIG!$G$5,A282+1,A282)</f>
        <v/>
      </c>
      <c r="B283" s="4">
        <f>IF(B282=CONFIG!$G$6,CONFIG!$G$5,CONFIG!$G$6)</f>
        <v/>
      </c>
      <c r="C283" s="4" t="n"/>
      <c r="D283" s="4" t="n"/>
      <c r="E283" s="9" t="n"/>
      <c r="F283" s="9" t="n"/>
      <c r="G283" s="9" t="n"/>
      <c r="H283" s="9">
        <f>IF(OR(E283&gt;0,F283&gt;0,G283&gt;0),SUM(E283:G283),"")</f>
        <v/>
      </c>
      <c r="I283" s="4" t="n"/>
      <c r="J283" s="4" t="n"/>
    </row>
    <row r="284">
      <c r="A284" s="12">
        <f>IF(B284=CONFIG!$G$5,A283+1,A283)</f>
        <v/>
      </c>
      <c r="B284" s="4">
        <f>IF(B283=CONFIG!$G$6,CONFIG!$G$5,CONFIG!$G$6)</f>
        <v/>
      </c>
      <c r="C284" s="4" t="n"/>
      <c r="D284" s="4" t="n"/>
      <c r="E284" s="9" t="n"/>
      <c r="F284" s="9" t="n"/>
      <c r="G284" s="9" t="n"/>
      <c r="H284" s="9">
        <f>IF(OR(E284&gt;0,F284&gt;0,G284&gt;0),SUM(E284:G284),"")</f>
        <v/>
      </c>
      <c r="I284" s="4" t="n"/>
      <c r="J284" s="4" t="n"/>
    </row>
    <row r="285">
      <c r="A285" s="12">
        <f>IF(B285=CONFIG!$G$5,A284+1,A284)</f>
        <v/>
      </c>
      <c r="B285" s="4">
        <f>IF(B284=CONFIG!$G$6,CONFIG!$G$5,CONFIG!$G$6)</f>
        <v/>
      </c>
      <c r="C285" s="4" t="n"/>
      <c r="D285" s="4" t="n"/>
      <c r="E285" s="9" t="n"/>
      <c r="F285" s="9" t="n"/>
      <c r="G285" s="9" t="n"/>
      <c r="H285" s="9">
        <f>IF(OR(E285&gt;0,F285&gt;0,G285&gt;0),SUM(E285:G285),"")</f>
        <v/>
      </c>
      <c r="I285" s="4" t="n"/>
      <c r="J285" s="4" t="n"/>
    </row>
    <row r="286">
      <c r="A286" s="12">
        <f>IF(B286=CONFIG!$G$5,A285+1,A285)</f>
        <v/>
      </c>
      <c r="B286" s="4">
        <f>IF(B285=CONFIG!$G$6,CONFIG!$G$5,CONFIG!$G$6)</f>
        <v/>
      </c>
      <c r="C286" s="4" t="n"/>
      <c r="D286" s="4" t="n"/>
      <c r="E286" s="9" t="n"/>
      <c r="F286" s="9" t="n"/>
      <c r="G286" s="9" t="n"/>
      <c r="H286" s="9">
        <f>IF(OR(E286&gt;0,F286&gt;0,G286&gt;0),SUM(E286:G286),"")</f>
        <v/>
      </c>
      <c r="I286" s="4" t="n"/>
      <c r="J286" s="4" t="n"/>
    </row>
    <row r="287">
      <c r="A287" s="12">
        <f>IF(B287=CONFIG!$G$5,A286+1,A286)</f>
        <v/>
      </c>
      <c r="B287" s="4">
        <f>IF(B286=CONFIG!$G$6,CONFIG!$G$5,CONFIG!$G$6)</f>
        <v/>
      </c>
      <c r="C287" s="4" t="n"/>
      <c r="D287" s="4" t="n"/>
      <c r="E287" s="9" t="n"/>
      <c r="F287" s="9" t="n"/>
      <c r="G287" s="9" t="n"/>
      <c r="H287" s="9">
        <f>IF(OR(E287&gt;0,F287&gt;0,G287&gt;0),SUM(E287:G287),"")</f>
        <v/>
      </c>
      <c r="I287" s="4" t="n"/>
      <c r="J287" s="4" t="n"/>
    </row>
    <row r="288">
      <c r="A288" s="12">
        <f>IF(B288=CONFIG!$G$5,A287+1,A287)</f>
        <v/>
      </c>
      <c r="B288" s="4">
        <f>IF(B287=CONFIG!$G$6,CONFIG!$G$5,CONFIG!$G$6)</f>
        <v/>
      </c>
      <c r="C288" s="4" t="n"/>
      <c r="D288" s="4" t="n"/>
      <c r="E288" s="9" t="n"/>
      <c r="F288" s="9" t="n"/>
      <c r="G288" s="9" t="n"/>
      <c r="H288" s="9">
        <f>IF(OR(E288&gt;0,F288&gt;0,G288&gt;0),SUM(E288:G288),"")</f>
        <v/>
      </c>
      <c r="I288" s="4" t="n"/>
      <c r="J288" s="4" t="n"/>
    </row>
    <row r="289">
      <c r="A289" s="12">
        <f>IF(B289=CONFIG!$G$5,A288+1,A288)</f>
        <v/>
      </c>
      <c r="B289" s="4">
        <f>IF(B288=CONFIG!$G$6,CONFIG!$G$5,CONFIG!$G$6)</f>
        <v/>
      </c>
      <c r="C289" s="4" t="n"/>
      <c r="D289" s="4" t="n"/>
      <c r="E289" s="9" t="n"/>
      <c r="F289" s="9" t="n"/>
      <c r="G289" s="9" t="n"/>
      <c r="H289" s="9">
        <f>IF(OR(E289&gt;0,F289&gt;0,G289&gt;0),SUM(E289:G289),"")</f>
        <v/>
      </c>
      <c r="I289" s="4" t="n"/>
      <c r="J289" s="4" t="n"/>
    </row>
    <row r="290">
      <c r="A290" s="12">
        <f>IF(B290=CONFIG!$G$5,A289+1,A289)</f>
        <v/>
      </c>
      <c r="B290" s="4">
        <f>IF(B289=CONFIG!$G$6,CONFIG!$G$5,CONFIG!$G$6)</f>
        <v/>
      </c>
      <c r="C290" s="4" t="n"/>
      <c r="D290" s="4" t="n"/>
      <c r="E290" s="9" t="n"/>
      <c r="F290" s="9" t="n"/>
      <c r="G290" s="9" t="n"/>
      <c r="H290" s="9">
        <f>IF(OR(E290&gt;0,F290&gt;0,G290&gt;0),SUM(E290:G290),"")</f>
        <v/>
      </c>
      <c r="I290" s="4" t="n"/>
      <c r="J290" s="4" t="n"/>
    </row>
    <row r="291">
      <c r="A291" s="12">
        <f>IF(B291=CONFIG!$G$5,A290+1,A290)</f>
        <v/>
      </c>
      <c r="B291" s="4">
        <f>IF(B290=CONFIG!$G$6,CONFIG!$G$5,CONFIG!$G$6)</f>
        <v/>
      </c>
      <c r="C291" s="4" t="n"/>
      <c r="D291" s="4" t="n"/>
      <c r="E291" s="9" t="n"/>
      <c r="F291" s="9" t="n"/>
      <c r="G291" s="9" t="n"/>
      <c r="H291" s="9">
        <f>IF(OR(E291&gt;0,F291&gt;0,G291&gt;0),SUM(E291:G291),"")</f>
        <v/>
      </c>
      <c r="I291" s="4" t="n"/>
      <c r="J291" s="4" t="n"/>
    </row>
    <row r="292">
      <c r="A292" s="12">
        <f>IF(B292=CONFIG!$G$5,A291+1,A291)</f>
        <v/>
      </c>
      <c r="B292" s="4">
        <f>IF(B291=CONFIG!$G$6,CONFIG!$G$5,CONFIG!$G$6)</f>
        <v/>
      </c>
      <c r="C292" s="4" t="n"/>
      <c r="D292" s="4" t="n"/>
      <c r="E292" s="9" t="n"/>
      <c r="F292" s="9" t="n"/>
      <c r="G292" s="9" t="n"/>
      <c r="H292" s="9">
        <f>IF(OR(E292&gt;0,F292&gt;0,G292&gt;0),SUM(E292:G292),"")</f>
        <v/>
      </c>
      <c r="I292" s="4" t="n"/>
      <c r="J292" s="4" t="n"/>
    </row>
    <row r="293">
      <c r="A293" s="12">
        <f>IF(B293=CONFIG!$G$5,A292+1,A292)</f>
        <v/>
      </c>
      <c r="B293" s="4">
        <f>IF(B292=CONFIG!$G$6,CONFIG!$G$5,CONFIG!$G$6)</f>
        <v/>
      </c>
      <c r="C293" s="4" t="n"/>
      <c r="D293" s="4" t="n"/>
      <c r="E293" s="9" t="n"/>
      <c r="F293" s="9" t="n"/>
      <c r="G293" s="9" t="n"/>
      <c r="H293" s="9">
        <f>IF(OR(E293&gt;0,F293&gt;0,G293&gt;0),SUM(E293:G293),"")</f>
        <v/>
      </c>
      <c r="I293" s="4" t="n"/>
      <c r="J293" s="4" t="n"/>
    </row>
    <row r="294">
      <c r="A294" s="12">
        <f>IF(B294=CONFIG!$G$5,A293+1,A293)</f>
        <v/>
      </c>
      <c r="B294" s="4">
        <f>IF(B293=CONFIG!$G$6,CONFIG!$G$5,CONFIG!$G$6)</f>
        <v/>
      </c>
      <c r="C294" s="4" t="n"/>
      <c r="D294" s="4" t="n"/>
      <c r="E294" s="9" t="n"/>
      <c r="F294" s="9" t="n"/>
      <c r="G294" s="9" t="n"/>
      <c r="H294" s="9">
        <f>IF(OR(E294&gt;0,F294&gt;0,G294&gt;0),SUM(E294:G294),"")</f>
        <v/>
      </c>
      <c r="I294" s="4" t="n"/>
      <c r="J294" s="4" t="n"/>
    </row>
    <row r="295">
      <c r="A295" s="12">
        <f>IF(B295=CONFIG!$G$5,A294+1,A294)</f>
        <v/>
      </c>
      <c r="B295" s="4">
        <f>IF(B294=CONFIG!$G$6,CONFIG!$G$5,CONFIG!$G$6)</f>
        <v/>
      </c>
      <c r="C295" s="4" t="n"/>
      <c r="D295" s="4" t="n"/>
      <c r="E295" s="9" t="n"/>
      <c r="F295" s="9" t="n"/>
      <c r="G295" s="9" t="n"/>
      <c r="H295" s="9">
        <f>IF(OR(E295&gt;0,F295&gt;0,G295&gt;0),SUM(E295:G295),"")</f>
        <v/>
      </c>
      <c r="I295" s="4" t="n"/>
      <c r="J295" s="4" t="n"/>
    </row>
    <row r="296">
      <c r="A296" s="12">
        <f>IF(B296=CONFIG!$G$5,A295+1,A295)</f>
        <v/>
      </c>
      <c r="B296" s="4">
        <f>IF(B295=CONFIG!$G$6,CONFIG!$G$5,CONFIG!$G$6)</f>
        <v/>
      </c>
      <c r="C296" s="4" t="n"/>
      <c r="D296" s="4" t="n"/>
      <c r="E296" s="9" t="n"/>
      <c r="F296" s="9" t="n"/>
      <c r="G296" s="9" t="n"/>
      <c r="H296" s="9">
        <f>IF(OR(E296&gt;0,F296&gt;0,G296&gt;0),SUM(E296:G296),"")</f>
        <v/>
      </c>
      <c r="I296" s="4" t="n"/>
      <c r="J296" s="4" t="n"/>
    </row>
    <row r="297">
      <c r="A297" s="12">
        <f>IF(B297=CONFIG!$G$5,A296+1,A296)</f>
        <v/>
      </c>
      <c r="B297" s="4">
        <f>IF(B296=CONFIG!$G$6,CONFIG!$G$5,CONFIG!$G$6)</f>
        <v/>
      </c>
      <c r="C297" s="4" t="n"/>
      <c r="D297" s="4" t="n"/>
      <c r="E297" s="9" t="n"/>
      <c r="F297" s="9" t="n"/>
      <c r="G297" s="9" t="n"/>
      <c r="H297" s="9">
        <f>IF(OR(E297&gt;0,F297&gt;0,G297&gt;0),SUM(E297:G297),"")</f>
        <v/>
      </c>
      <c r="I297" s="4" t="n"/>
      <c r="J297" s="4" t="n"/>
    </row>
    <row r="298">
      <c r="A298" s="12">
        <f>IF(B298=CONFIG!$G$5,A297+1,A297)</f>
        <v/>
      </c>
      <c r="B298" s="4">
        <f>IF(B297=CONFIG!$G$6,CONFIG!$G$5,CONFIG!$G$6)</f>
        <v/>
      </c>
      <c r="C298" s="4" t="n"/>
      <c r="D298" s="4" t="n"/>
      <c r="E298" s="9" t="n"/>
      <c r="F298" s="9" t="n"/>
      <c r="G298" s="9" t="n"/>
      <c r="H298" s="9">
        <f>IF(OR(E298&gt;0,F298&gt;0,G298&gt;0),SUM(E298:G298),"")</f>
        <v/>
      </c>
      <c r="I298" s="4" t="n"/>
      <c r="J298" s="4" t="n"/>
    </row>
    <row r="299">
      <c r="A299" s="12">
        <f>IF(B299=CONFIG!$G$5,A298+1,A298)</f>
        <v/>
      </c>
      <c r="B299" s="4">
        <f>IF(B298=CONFIG!$G$6,CONFIG!$G$5,CONFIG!$G$6)</f>
        <v/>
      </c>
      <c r="C299" s="4" t="n"/>
      <c r="D299" s="4" t="n"/>
      <c r="E299" s="9" t="n"/>
      <c r="F299" s="9" t="n"/>
      <c r="G299" s="9" t="n"/>
      <c r="H299" s="9">
        <f>IF(OR(E299&gt;0,F299&gt;0,G299&gt;0),SUM(E299:G299),"")</f>
        <v/>
      </c>
      <c r="I299" s="4" t="n"/>
      <c r="J299" s="4" t="n"/>
    </row>
    <row r="300">
      <c r="A300" s="12">
        <f>IF(B300=CONFIG!$G$5,A299+1,A299)</f>
        <v/>
      </c>
      <c r="B300" s="4">
        <f>IF(B299=CONFIG!$G$6,CONFIG!$G$5,CONFIG!$G$6)</f>
        <v/>
      </c>
      <c r="C300" s="4" t="n"/>
      <c r="D300" s="4" t="n"/>
      <c r="E300" s="9" t="n"/>
      <c r="F300" s="9" t="n"/>
      <c r="G300" s="9" t="n"/>
      <c r="H300" s="9">
        <f>IF(OR(E300&gt;0,F300&gt;0,G300&gt;0),SUM(E300:G300),"")</f>
        <v/>
      </c>
      <c r="I300" s="4" t="n"/>
      <c r="J300" s="4" t="n"/>
    </row>
    <row r="301">
      <c r="A301" s="12">
        <f>IF(B301=CONFIG!$G$5,A300+1,A300)</f>
        <v/>
      </c>
      <c r="B301" s="4">
        <f>IF(B300=CONFIG!$G$6,CONFIG!$G$5,CONFIG!$G$6)</f>
        <v/>
      </c>
      <c r="C301" s="4" t="n"/>
      <c r="D301" s="4" t="n"/>
      <c r="E301" s="9" t="n"/>
      <c r="F301" s="9" t="n"/>
      <c r="G301" s="9" t="n"/>
      <c r="H301" s="9">
        <f>IF(OR(E301&gt;0,F301&gt;0,G301&gt;0),SUM(E301:G301),"")</f>
        <v/>
      </c>
      <c r="I301" s="4" t="n"/>
      <c r="J301" s="4" t="n"/>
    </row>
    <row r="302">
      <c r="A302" s="12">
        <f>IF(B302=CONFIG!$G$5,A301+1,A301)</f>
        <v/>
      </c>
      <c r="B302" s="4">
        <f>IF(B301=CONFIG!$G$6,CONFIG!$G$5,CONFIG!$G$6)</f>
        <v/>
      </c>
      <c r="C302" s="4" t="n"/>
      <c r="D302" s="4" t="n"/>
      <c r="E302" s="9" t="n"/>
      <c r="F302" s="9" t="n"/>
      <c r="G302" s="9" t="n"/>
      <c r="H302" s="9">
        <f>IF(OR(E302&gt;0,F302&gt;0,G302&gt;0),SUM(E302:G302),"")</f>
        <v/>
      </c>
      <c r="I302" s="4" t="n"/>
      <c r="J302" s="4" t="n"/>
    </row>
    <row r="303">
      <c r="A303" s="12">
        <f>IF(B303=CONFIG!$G$5,A302+1,A302)</f>
        <v/>
      </c>
      <c r="B303" s="4">
        <f>IF(B302=CONFIG!$G$6,CONFIG!$G$5,CONFIG!$G$6)</f>
        <v/>
      </c>
      <c r="C303" s="4" t="n"/>
      <c r="D303" s="4" t="n"/>
      <c r="E303" s="9" t="n"/>
      <c r="F303" s="9" t="n"/>
      <c r="G303" s="9" t="n"/>
      <c r="H303" s="9">
        <f>IF(OR(E303&gt;0,F303&gt;0,G303&gt;0),SUM(E303:G303),"")</f>
        <v/>
      </c>
      <c r="I303" s="4" t="n"/>
      <c r="J303" s="4" t="n"/>
    </row>
    <row r="304">
      <c r="A304" s="12">
        <f>IF(B304=CONFIG!$G$5,A303+1,A303)</f>
        <v/>
      </c>
      <c r="B304" s="4">
        <f>IF(B303=CONFIG!$G$6,CONFIG!$G$5,CONFIG!$G$6)</f>
        <v/>
      </c>
      <c r="C304" s="4" t="n"/>
      <c r="D304" s="4" t="n"/>
      <c r="E304" s="9" t="n"/>
      <c r="F304" s="9" t="n"/>
      <c r="G304" s="9" t="n"/>
      <c r="H304" s="9">
        <f>IF(OR(E304&gt;0,F304&gt;0,G304&gt;0),SUM(E304:G304),"")</f>
        <v/>
      </c>
      <c r="I304" s="4" t="n"/>
      <c r="J304" s="4" t="n"/>
    </row>
    <row r="305">
      <c r="A305" s="12">
        <f>IF(B305=CONFIG!$G$5,A304+1,A304)</f>
        <v/>
      </c>
      <c r="B305" s="4">
        <f>IF(B304=CONFIG!$G$6,CONFIG!$G$5,CONFIG!$G$6)</f>
        <v/>
      </c>
      <c r="C305" s="4" t="n"/>
      <c r="D305" s="4" t="n"/>
      <c r="E305" s="9" t="n"/>
      <c r="F305" s="9" t="n"/>
      <c r="G305" s="9" t="n"/>
      <c r="H305" s="9">
        <f>IF(OR(E305&gt;0,F305&gt;0,G305&gt;0),SUM(E305:G305),"")</f>
        <v/>
      </c>
      <c r="I305" s="4" t="n"/>
      <c r="J305" s="4" t="n"/>
    </row>
    <row r="306">
      <c r="A306" s="12">
        <f>IF(B306=CONFIG!$G$5,A305+1,A305)</f>
        <v/>
      </c>
      <c r="B306" s="4">
        <f>IF(B305=CONFIG!$G$6,CONFIG!$G$5,CONFIG!$G$6)</f>
        <v/>
      </c>
      <c r="C306" s="4" t="n"/>
      <c r="D306" s="4" t="n"/>
      <c r="E306" s="9" t="n"/>
      <c r="F306" s="9" t="n"/>
      <c r="G306" s="9" t="n"/>
      <c r="H306" s="9">
        <f>IF(OR(E306&gt;0,F306&gt;0,G306&gt;0),SUM(E306:G306),"")</f>
        <v/>
      </c>
      <c r="I306" s="4" t="n"/>
      <c r="J306" s="4" t="n"/>
    </row>
    <row r="307">
      <c r="A307" s="12">
        <f>IF(B307=CONFIG!$G$5,A306+1,A306)</f>
        <v/>
      </c>
      <c r="B307" s="4">
        <f>IF(B306=CONFIG!$G$6,CONFIG!$G$5,CONFIG!$G$6)</f>
        <v/>
      </c>
      <c r="C307" s="4" t="n"/>
      <c r="D307" s="4" t="n"/>
      <c r="E307" s="9" t="n"/>
      <c r="F307" s="9" t="n"/>
      <c r="G307" s="9" t="n"/>
      <c r="H307" s="9">
        <f>IF(OR(E307&gt;0,F307&gt;0,G307&gt;0),SUM(E307:G307),"")</f>
        <v/>
      </c>
      <c r="I307" s="4" t="n"/>
      <c r="J307" s="4" t="n"/>
    </row>
    <row r="308">
      <c r="A308" s="12">
        <f>IF(B308=CONFIG!$G$5,A307+1,A307)</f>
        <v/>
      </c>
      <c r="B308" s="4">
        <f>IF(B307=CONFIG!$G$6,CONFIG!$G$5,CONFIG!$G$6)</f>
        <v/>
      </c>
      <c r="C308" s="4" t="n"/>
      <c r="D308" s="4" t="n"/>
      <c r="E308" s="9" t="n"/>
      <c r="F308" s="9" t="n"/>
      <c r="G308" s="9" t="n"/>
      <c r="H308" s="9">
        <f>IF(OR(E308&gt;0,F308&gt;0,G308&gt;0),SUM(E308:G308),"")</f>
        <v/>
      </c>
      <c r="I308" s="4" t="n"/>
      <c r="J308" s="4" t="n"/>
    </row>
    <row r="309">
      <c r="A309" s="12">
        <f>IF(B309=CONFIG!$G$5,A308+1,A308)</f>
        <v/>
      </c>
      <c r="B309" s="4">
        <f>IF(B308=CONFIG!$G$6,CONFIG!$G$5,CONFIG!$G$6)</f>
        <v/>
      </c>
      <c r="C309" s="4" t="n"/>
      <c r="D309" s="4" t="n"/>
      <c r="E309" s="9" t="n"/>
      <c r="F309" s="9" t="n"/>
      <c r="G309" s="9" t="n"/>
      <c r="H309" s="9">
        <f>IF(OR(E309&gt;0,F309&gt;0,G309&gt;0),SUM(E309:G309),"")</f>
        <v/>
      </c>
      <c r="I309" s="4" t="n"/>
      <c r="J309" s="4" t="n"/>
    </row>
    <row r="310">
      <c r="A310" s="12">
        <f>IF(B310=CONFIG!$G$5,A309+1,A309)</f>
        <v/>
      </c>
      <c r="B310" s="4">
        <f>IF(B309=CONFIG!$G$6,CONFIG!$G$5,CONFIG!$G$6)</f>
        <v/>
      </c>
      <c r="C310" s="4" t="n"/>
      <c r="D310" s="4" t="n"/>
      <c r="E310" s="9" t="n"/>
      <c r="F310" s="9" t="n"/>
      <c r="G310" s="9" t="n"/>
      <c r="H310" s="9">
        <f>IF(OR(E310&gt;0,F310&gt;0,G310&gt;0),SUM(E310:G310),"")</f>
        <v/>
      </c>
      <c r="I310" s="4" t="n"/>
      <c r="J310" s="4" t="n"/>
    </row>
    <row r="311">
      <c r="A311" s="12">
        <f>IF(B311=CONFIG!$G$5,A310+1,A310)</f>
        <v/>
      </c>
      <c r="B311" s="4">
        <f>IF(B310=CONFIG!$G$6,CONFIG!$G$5,CONFIG!$G$6)</f>
        <v/>
      </c>
      <c r="C311" s="4" t="n"/>
      <c r="D311" s="4" t="n"/>
      <c r="E311" s="9" t="n"/>
      <c r="F311" s="9" t="n"/>
      <c r="G311" s="9" t="n"/>
      <c r="H311" s="9">
        <f>IF(OR(E311&gt;0,F311&gt;0,G311&gt;0),SUM(E311:G311),"")</f>
        <v/>
      </c>
      <c r="I311" s="4" t="n"/>
      <c r="J311" s="4" t="n"/>
    </row>
    <row r="312">
      <c r="A312" s="12">
        <f>IF(B312=CONFIG!$G$5,A311+1,A311)</f>
        <v/>
      </c>
      <c r="B312" s="4">
        <f>IF(B311=CONFIG!$G$6,CONFIG!$G$5,CONFIG!$G$6)</f>
        <v/>
      </c>
      <c r="C312" s="4" t="n"/>
      <c r="D312" s="4" t="n"/>
      <c r="E312" s="9" t="n"/>
      <c r="F312" s="9" t="n"/>
      <c r="G312" s="9" t="n"/>
      <c r="H312" s="9">
        <f>IF(OR(E312&gt;0,F312&gt;0,G312&gt;0),SUM(E312:G312),"")</f>
        <v/>
      </c>
      <c r="I312" s="4" t="n"/>
      <c r="J312" s="4" t="n"/>
    </row>
    <row r="313">
      <c r="A313" s="12">
        <f>IF(B313=CONFIG!$G$5,A312+1,A312)</f>
        <v/>
      </c>
      <c r="B313" s="4">
        <f>IF(B312=CONFIG!$G$6,CONFIG!$G$5,CONFIG!$G$6)</f>
        <v/>
      </c>
      <c r="C313" s="4" t="n"/>
      <c r="D313" s="4" t="n"/>
      <c r="E313" s="9" t="n"/>
      <c r="F313" s="9" t="n"/>
      <c r="G313" s="9" t="n"/>
      <c r="H313" s="9">
        <f>IF(OR(E313&gt;0,F313&gt;0,G313&gt;0),SUM(E313:G313),"")</f>
        <v/>
      </c>
      <c r="I313" s="4" t="n"/>
      <c r="J313" s="4" t="n"/>
    </row>
    <row r="314">
      <c r="A314" s="12">
        <f>IF(B314=CONFIG!$G$5,A313+1,A313)</f>
        <v/>
      </c>
      <c r="B314" s="4">
        <f>IF(B313=CONFIG!$G$6,CONFIG!$G$5,CONFIG!$G$6)</f>
        <v/>
      </c>
      <c r="C314" s="4" t="n"/>
      <c r="D314" s="4" t="n"/>
      <c r="E314" s="9" t="n"/>
      <c r="F314" s="9" t="n"/>
      <c r="G314" s="9" t="n"/>
      <c r="H314" s="9">
        <f>IF(OR(E314&gt;0,F314&gt;0,G314&gt;0),SUM(E314:G314),"")</f>
        <v/>
      </c>
      <c r="I314" s="4" t="n"/>
      <c r="J314" s="4" t="n"/>
    </row>
    <row r="315">
      <c r="A315" s="12">
        <f>IF(B315=CONFIG!$G$5,A314+1,A314)</f>
        <v/>
      </c>
      <c r="B315" s="4">
        <f>IF(B314=CONFIG!$G$6,CONFIG!$G$5,CONFIG!$G$6)</f>
        <v/>
      </c>
      <c r="C315" s="4" t="n"/>
      <c r="D315" s="4" t="n"/>
      <c r="E315" s="9" t="n"/>
      <c r="F315" s="9" t="n"/>
      <c r="G315" s="9" t="n"/>
      <c r="H315" s="9">
        <f>IF(OR(E315&gt;0,F315&gt;0,G315&gt;0),SUM(E315:G315),"")</f>
        <v/>
      </c>
      <c r="I315" s="4" t="n"/>
      <c r="J315" s="4" t="n"/>
    </row>
    <row r="316">
      <c r="A316" s="12">
        <f>IF(B316=CONFIG!$G$5,A315+1,A315)</f>
        <v/>
      </c>
      <c r="B316" s="4">
        <f>IF(B315=CONFIG!$G$6,CONFIG!$G$5,CONFIG!$G$6)</f>
        <v/>
      </c>
      <c r="C316" s="4" t="n"/>
      <c r="D316" s="4" t="n"/>
      <c r="E316" s="9" t="n"/>
      <c r="F316" s="9" t="n"/>
      <c r="G316" s="9" t="n"/>
      <c r="H316" s="9">
        <f>IF(OR(E316&gt;0,F316&gt;0,G316&gt;0),SUM(E316:G316),"")</f>
        <v/>
      </c>
      <c r="I316" s="4" t="n"/>
      <c r="J316" s="4" t="n"/>
    </row>
    <row r="317">
      <c r="A317" s="12">
        <f>IF(B317=CONFIG!$G$5,A316+1,A316)</f>
        <v/>
      </c>
      <c r="B317" s="4">
        <f>IF(B316=CONFIG!$G$6,CONFIG!$G$5,CONFIG!$G$6)</f>
        <v/>
      </c>
      <c r="C317" s="4" t="n"/>
      <c r="D317" s="4" t="n"/>
      <c r="E317" s="9" t="n"/>
      <c r="F317" s="9" t="n"/>
      <c r="G317" s="9" t="n"/>
      <c r="H317" s="9">
        <f>IF(OR(E317&gt;0,F317&gt;0,G317&gt;0),SUM(E317:G317),"")</f>
        <v/>
      </c>
      <c r="I317" s="4" t="n"/>
      <c r="J317" s="4" t="n"/>
    </row>
    <row r="318">
      <c r="A318" s="12">
        <f>IF(B318=CONFIG!$G$5,A317+1,A317)</f>
        <v/>
      </c>
      <c r="B318" s="4">
        <f>IF(B317=CONFIG!$G$6,CONFIG!$G$5,CONFIG!$G$6)</f>
        <v/>
      </c>
      <c r="C318" s="4" t="n"/>
      <c r="D318" s="4" t="n"/>
      <c r="E318" s="9" t="n"/>
      <c r="F318" s="9" t="n"/>
      <c r="G318" s="9" t="n"/>
      <c r="H318" s="9">
        <f>IF(OR(E318&gt;0,F318&gt;0,G318&gt;0),SUM(E318:G318),"")</f>
        <v/>
      </c>
      <c r="I318" s="4" t="n"/>
      <c r="J318" s="4" t="n"/>
    </row>
    <row r="319">
      <c r="A319" s="12">
        <f>IF(B319=CONFIG!$G$5,A318+1,A318)</f>
        <v/>
      </c>
      <c r="B319" s="4">
        <f>IF(B318=CONFIG!$G$6,CONFIG!$G$5,CONFIG!$G$6)</f>
        <v/>
      </c>
      <c r="C319" s="4" t="n"/>
      <c r="D319" s="4" t="n"/>
      <c r="E319" s="9" t="n"/>
      <c r="F319" s="9" t="n"/>
      <c r="G319" s="9" t="n"/>
      <c r="H319" s="9">
        <f>IF(OR(E319&gt;0,F319&gt;0,G319&gt;0),SUM(E319:G319),"")</f>
        <v/>
      </c>
      <c r="I319" s="4" t="n"/>
      <c r="J319" s="4" t="n"/>
    </row>
    <row r="320">
      <c r="A320" s="12">
        <f>IF(B320=CONFIG!$G$5,A319+1,A319)</f>
        <v/>
      </c>
      <c r="B320" s="4">
        <f>IF(B319=CONFIG!$G$6,CONFIG!$G$5,CONFIG!$G$6)</f>
        <v/>
      </c>
      <c r="C320" s="4" t="n"/>
      <c r="D320" s="4" t="n"/>
      <c r="E320" s="9" t="n"/>
      <c r="F320" s="9" t="n"/>
      <c r="G320" s="9" t="n"/>
      <c r="H320" s="9">
        <f>IF(OR(E320&gt;0,F320&gt;0,G320&gt;0),SUM(E320:G320),"")</f>
        <v/>
      </c>
      <c r="I320" s="4" t="n"/>
      <c r="J320" s="4" t="n"/>
    </row>
    <row r="321">
      <c r="A321" s="12">
        <f>IF(B321=CONFIG!$G$5,A320+1,A320)</f>
        <v/>
      </c>
      <c r="B321" s="4">
        <f>IF(B320=CONFIG!$G$6,CONFIG!$G$5,CONFIG!$G$6)</f>
        <v/>
      </c>
      <c r="C321" s="4" t="n"/>
      <c r="D321" s="4" t="n"/>
      <c r="E321" s="9" t="n"/>
      <c r="F321" s="9" t="n"/>
      <c r="G321" s="9" t="n"/>
      <c r="H321" s="9">
        <f>IF(OR(E321&gt;0,F321&gt;0,G321&gt;0),SUM(E321:G321),"")</f>
        <v/>
      </c>
      <c r="I321" s="4" t="n"/>
      <c r="J321" s="4" t="n"/>
    </row>
    <row r="322">
      <c r="A322" s="12">
        <f>IF(B322=CONFIG!$G$5,A321+1,A321)</f>
        <v/>
      </c>
      <c r="B322" s="4">
        <f>IF(B321=CONFIG!$G$6,CONFIG!$G$5,CONFIG!$G$6)</f>
        <v/>
      </c>
      <c r="C322" s="4" t="n"/>
      <c r="D322" s="4" t="n"/>
      <c r="E322" s="9" t="n"/>
      <c r="F322" s="9" t="n"/>
      <c r="G322" s="9" t="n"/>
      <c r="H322" s="9">
        <f>IF(OR(E322&gt;0,F322&gt;0,G322&gt;0),SUM(E322:G322),"")</f>
        <v/>
      </c>
      <c r="I322" s="4" t="n"/>
      <c r="J322" s="4" t="n"/>
    </row>
    <row r="323">
      <c r="A323" s="12">
        <f>IF(B323=CONFIG!$G$5,A322+1,A322)</f>
        <v/>
      </c>
      <c r="B323" s="4">
        <f>IF(B322=CONFIG!$G$6,CONFIG!$G$5,CONFIG!$G$6)</f>
        <v/>
      </c>
      <c r="C323" s="4" t="n"/>
      <c r="D323" s="4" t="n"/>
      <c r="E323" s="9" t="n"/>
      <c r="F323" s="9" t="n"/>
      <c r="G323" s="9" t="n"/>
      <c r="H323" s="9">
        <f>IF(OR(E323&gt;0,F323&gt;0,G323&gt;0),SUM(E323:G323),"")</f>
        <v/>
      </c>
      <c r="I323" s="4" t="n"/>
      <c r="J323" s="4" t="n"/>
    </row>
    <row r="324">
      <c r="A324" s="12">
        <f>IF(B324=CONFIG!$G$5,A323+1,A323)</f>
        <v/>
      </c>
      <c r="B324" s="4">
        <f>IF(B323=CONFIG!$G$6,CONFIG!$G$5,CONFIG!$G$6)</f>
        <v/>
      </c>
      <c r="C324" s="4" t="n"/>
      <c r="D324" s="4" t="n"/>
      <c r="E324" s="9" t="n"/>
      <c r="F324" s="9" t="n"/>
      <c r="G324" s="9" t="n"/>
      <c r="H324" s="9">
        <f>IF(OR(E324&gt;0,F324&gt;0,G324&gt;0),SUM(E324:G324),"")</f>
        <v/>
      </c>
      <c r="I324" s="4" t="n"/>
      <c r="J324" s="4" t="n"/>
    </row>
    <row r="325">
      <c r="A325" s="12">
        <f>IF(B325=CONFIG!$G$5,A324+1,A324)</f>
        <v/>
      </c>
      <c r="B325" s="4">
        <f>IF(B324=CONFIG!$G$6,CONFIG!$G$5,CONFIG!$G$6)</f>
        <v/>
      </c>
      <c r="C325" s="4" t="n"/>
      <c r="D325" s="4" t="n"/>
      <c r="E325" s="9" t="n"/>
      <c r="F325" s="9" t="n"/>
      <c r="G325" s="9" t="n"/>
      <c r="H325" s="9">
        <f>IF(OR(E325&gt;0,F325&gt;0,G325&gt;0),SUM(E325:G325),"")</f>
        <v/>
      </c>
      <c r="I325" s="4" t="n"/>
      <c r="J325" s="4" t="n"/>
    </row>
    <row r="326">
      <c r="A326" s="12">
        <f>IF(B326=CONFIG!$G$5,A325+1,A325)</f>
        <v/>
      </c>
      <c r="B326" s="4">
        <f>IF(B325=CONFIG!$G$6,CONFIG!$G$5,CONFIG!$G$6)</f>
        <v/>
      </c>
      <c r="C326" s="4" t="n"/>
      <c r="D326" s="4" t="n"/>
      <c r="E326" s="9" t="n"/>
      <c r="F326" s="9" t="n"/>
      <c r="G326" s="9" t="n"/>
      <c r="H326" s="9">
        <f>IF(OR(E326&gt;0,F326&gt;0,G326&gt;0),SUM(E326:G326),"")</f>
        <v/>
      </c>
      <c r="I326" s="4" t="n"/>
      <c r="J326" s="4" t="n"/>
    </row>
    <row r="327">
      <c r="A327" s="12">
        <f>IF(B327=CONFIG!$G$5,A326+1,A326)</f>
        <v/>
      </c>
      <c r="B327" s="4">
        <f>IF(B326=CONFIG!$G$6,CONFIG!$G$5,CONFIG!$G$6)</f>
        <v/>
      </c>
      <c r="C327" s="4" t="n"/>
      <c r="D327" s="4" t="n"/>
      <c r="E327" s="9" t="n"/>
      <c r="F327" s="9" t="n"/>
      <c r="G327" s="9" t="n"/>
      <c r="H327" s="9">
        <f>IF(OR(E327&gt;0,F327&gt;0,G327&gt;0),SUM(E327:G327),"")</f>
        <v/>
      </c>
      <c r="I327" s="4" t="n"/>
      <c r="J327" s="4" t="n"/>
    </row>
    <row r="328">
      <c r="A328" s="12">
        <f>IF(B328=CONFIG!$G$5,A327+1,A327)</f>
        <v/>
      </c>
      <c r="B328" s="4">
        <f>IF(B327=CONFIG!$G$6,CONFIG!$G$5,CONFIG!$G$6)</f>
        <v/>
      </c>
      <c r="C328" s="4" t="n"/>
      <c r="D328" s="4" t="n"/>
      <c r="E328" s="9" t="n"/>
      <c r="F328" s="9" t="n"/>
      <c r="G328" s="9" t="n"/>
      <c r="H328" s="9">
        <f>IF(OR(E328&gt;0,F328&gt;0,G328&gt;0),SUM(E328:G328),"")</f>
        <v/>
      </c>
      <c r="I328" s="4" t="n"/>
      <c r="J328" s="4" t="n"/>
    </row>
    <row r="329">
      <c r="A329" s="12">
        <f>IF(B329=CONFIG!$G$5,A328+1,A328)</f>
        <v/>
      </c>
      <c r="B329" s="4">
        <f>IF(B328=CONFIG!$G$6,CONFIG!$G$5,CONFIG!$G$6)</f>
        <v/>
      </c>
      <c r="C329" s="4" t="n"/>
      <c r="D329" s="4" t="n"/>
      <c r="E329" s="9" t="n"/>
      <c r="F329" s="9" t="n"/>
      <c r="G329" s="9" t="n"/>
      <c r="H329" s="9">
        <f>IF(OR(E329&gt;0,F329&gt;0,G329&gt;0),SUM(E329:G329),"")</f>
        <v/>
      </c>
      <c r="I329" s="4" t="n"/>
      <c r="J329" s="4" t="n"/>
    </row>
    <row r="330">
      <c r="A330" s="12">
        <f>IF(B330=CONFIG!$G$5,A329+1,A329)</f>
        <v/>
      </c>
      <c r="B330" s="4">
        <f>IF(B329=CONFIG!$G$6,CONFIG!$G$5,CONFIG!$G$6)</f>
        <v/>
      </c>
      <c r="C330" s="4" t="n"/>
      <c r="D330" s="4" t="n"/>
      <c r="E330" s="9" t="n"/>
      <c r="F330" s="9" t="n"/>
      <c r="G330" s="9" t="n"/>
      <c r="H330" s="9">
        <f>IF(OR(E330&gt;0,F330&gt;0,G330&gt;0),SUM(E330:G330),"")</f>
        <v/>
      </c>
      <c r="I330" s="4" t="n"/>
      <c r="J330" s="4" t="n"/>
    </row>
    <row r="331">
      <c r="A331" s="12">
        <f>IF(B331=CONFIG!$G$5,A330+1,A330)</f>
        <v/>
      </c>
      <c r="B331" s="4">
        <f>IF(B330=CONFIG!$G$6,CONFIG!$G$5,CONFIG!$G$6)</f>
        <v/>
      </c>
      <c r="C331" s="4" t="n"/>
      <c r="D331" s="4" t="n"/>
      <c r="E331" s="9" t="n"/>
      <c r="F331" s="9" t="n"/>
      <c r="G331" s="9" t="n"/>
      <c r="H331" s="9">
        <f>IF(OR(E331&gt;0,F331&gt;0,G331&gt;0),SUM(E331:G331),"")</f>
        <v/>
      </c>
      <c r="I331" s="4" t="n"/>
      <c r="J331" s="4" t="n"/>
    </row>
    <row r="332">
      <c r="A332" s="12">
        <f>IF(B332=CONFIG!$G$5,A331+1,A331)</f>
        <v/>
      </c>
      <c r="B332" s="4">
        <f>IF(B331=CONFIG!$G$6,CONFIG!$G$5,CONFIG!$G$6)</f>
        <v/>
      </c>
      <c r="C332" s="4" t="n"/>
      <c r="D332" s="4" t="n"/>
      <c r="E332" s="9" t="n"/>
      <c r="F332" s="9" t="n"/>
      <c r="G332" s="9" t="n"/>
      <c r="H332" s="9">
        <f>IF(OR(E332&gt;0,F332&gt;0,G332&gt;0),SUM(E332:G332),"")</f>
        <v/>
      </c>
      <c r="I332" s="4" t="n"/>
      <c r="J332" s="4" t="n"/>
    </row>
    <row r="333">
      <c r="A333" s="12">
        <f>IF(B333=CONFIG!$G$5,A332+1,A332)</f>
        <v/>
      </c>
      <c r="B333" s="4">
        <f>IF(B332=CONFIG!$G$6,CONFIG!$G$5,CONFIG!$G$6)</f>
        <v/>
      </c>
      <c r="C333" s="4" t="n"/>
      <c r="D333" s="4" t="n"/>
      <c r="E333" s="9" t="n"/>
      <c r="F333" s="9" t="n"/>
      <c r="G333" s="9" t="n"/>
      <c r="H333" s="9">
        <f>IF(OR(E333&gt;0,F333&gt;0,G333&gt;0),SUM(E333:G333),"")</f>
        <v/>
      </c>
      <c r="I333" s="4" t="n"/>
      <c r="J333" s="4" t="n"/>
    </row>
    <row r="334">
      <c r="A334" s="12">
        <f>IF(B334=CONFIG!$G$5,A333+1,A333)</f>
        <v/>
      </c>
      <c r="B334" s="4">
        <f>IF(B333=CONFIG!$G$6,CONFIG!$G$5,CONFIG!$G$6)</f>
        <v/>
      </c>
      <c r="C334" s="4" t="n"/>
      <c r="D334" s="4" t="n"/>
      <c r="E334" s="9" t="n"/>
      <c r="F334" s="9" t="n"/>
      <c r="G334" s="9" t="n"/>
      <c r="H334" s="9">
        <f>IF(OR(E334&gt;0,F334&gt;0,G334&gt;0),SUM(E334:G334),"")</f>
        <v/>
      </c>
      <c r="I334" s="4" t="n"/>
      <c r="J334" s="4" t="n"/>
    </row>
    <row r="335">
      <c r="A335" s="12">
        <f>IF(B335=CONFIG!$G$5,A334+1,A334)</f>
        <v/>
      </c>
      <c r="B335" s="4">
        <f>IF(B334=CONFIG!$G$6,CONFIG!$G$5,CONFIG!$G$6)</f>
        <v/>
      </c>
      <c r="C335" s="4" t="n"/>
      <c r="D335" s="4" t="n"/>
      <c r="E335" s="9" t="n"/>
      <c r="F335" s="9" t="n"/>
      <c r="G335" s="9" t="n"/>
      <c r="H335" s="9">
        <f>IF(OR(E335&gt;0,F335&gt;0,G335&gt;0),SUM(E335:G335),"")</f>
        <v/>
      </c>
      <c r="I335" s="4" t="n"/>
      <c r="J335" s="4" t="n"/>
    </row>
    <row r="336">
      <c r="A336" s="12">
        <f>IF(B336=CONFIG!$G$5,A335+1,A335)</f>
        <v/>
      </c>
      <c r="B336" s="4">
        <f>IF(B335=CONFIG!$G$6,CONFIG!$G$5,CONFIG!$G$6)</f>
        <v/>
      </c>
      <c r="C336" s="4" t="n"/>
      <c r="D336" s="4" t="n"/>
      <c r="E336" s="9" t="n"/>
      <c r="F336" s="9" t="n"/>
      <c r="G336" s="9" t="n"/>
      <c r="H336" s="9">
        <f>IF(OR(E336&gt;0,F336&gt;0,G336&gt;0),SUM(E336:G336),"")</f>
        <v/>
      </c>
      <c r="I336" s="4" t="n"/>
      <c r="J336" s="4" t="n"/>
    </row>
    <row r="337">
      <c r="A337" s="12">
        <f>IF(B337=CONFIG!$G$5,A336+1,A336)</f>
        <v/>
      </c>
      <c r="B337" s="4">
        <f>IF(B336=CONFIG!$G$6,CONFIG!$G$5,CONFIG!$G$6)</f>
        <v/>
      </c>
      <c r="C337" s="4" t="n"/>
      <c r="D337" s="4" t="n"/>
      <c r="E337" s="9" t="n"/>
      <c r="F337" s="9" t="n"/>
      <c r="G337" s="9" t="n"/>
      <c r="H337" s="9">
        <f>IF(OR(E337&gt;0,F337&gt;0,G337&gt;0),SUM(E337:G337),"")</f>
        <v/>
      </c>
      <c r="I337" s="4" t="n"/>
      <c r="J337" s="4" t="n"/>
    </row>
    <row r="338">
      <c r="A338" s="12">
        <f>IF(B338=CONFIG!$G$5,A337+1,A337)</f>
        <v/>
      </c>
      <c r="B338" s="4">
        <f>IF(B337=CONFIG!$G$6,CONFIG!$G$5,CONFIG!$G$6)</f>
        <v/>
      </c>
      <c r="C338" s="4" t="n"/>
      <c r="D338" s="4" t="n"/>
      <c r="E338" s="9" t="n"/>
      <c r="F338" s="9" t="n"/>
      <c r="G338" s="9" t="n"/>
      <c r="H338" s="9">
        <f>IF(OR(E338&gt;0,F338&gt;0,G338&gt;0),SUM(E338:G338),"")</f>
        <v/>
      </c>
      <c r="I338" s="4" t="n"/>
      <c r="J338" s="4" t="n"/>
    </row>
    <row r="339">
      <c r="A339" s="12">
        <f>IF(B339=CONFIG!$G$5,A338+1,A338)</f>
        <v/>
      </c>
      <c r="B339" s="4">
        <f>IF(B338=CONFIG!$G$6,CONFIG!$G$5,CONFIG!$G$6)</f>
        <v/>
      </c>
      <c r="C339" s="4" t="n"/>
      <c r="D339" s="4" t="n"/>
      <c r="E339" s="9" t="n"/>
      <c r="F339" s="9" t="n"/>
      <c r="G339" s="9" t="n"/>
      <c r="H339" s="9">
        <f>IF(OR(E339&gt;0,F339&gt;0,G339&gt;0),SUM(E339:G339),"")</f>
        <v/>
      </c>
      <c r="I339" s="4" t="n"/>
      <c r="J339" s="4" t="n"/>
    </row>
    <row r="340">
      <c r="A340" s="12">
        <f>IF(B340=CONFIG!$G$5,A339+1,A339)</f>
        <v/>
      </c>
      <c r="B340" s="4">
        <f>IF(B339=CONFIG!$G$6,CONFIG!$G$5,CONFIG!$G$6)</f>
        <v/>
      </c>
      <c r="C340" s="4" t="n"/>
      <c r="D340" s="4" t="n"/>
      <c r="E340" s="9" t="n"/>
      <c r="F340" s="9" t="n"/>
      <c r="G340" s="9" t="n"/>
      <c r="H340" s="9">
        <f>IF(OR(E340&gt;0,F340&gt;0,G340&gt;0),SUM(E340:G340),"")</f>
        <v/>
      </c>
      <c r="I340" s="4" t="n"/>
      <c r="J340" s="4" t="n"/>
    </row>
    <row r="341">
      <c r="A341" s="12">
        <f>IF(B341=CONFIG!$G$5,A340+1,A340)</f>
        <v/>
      </c>
      <c r="B341" s="4">
        <f>IF(B340=CONFIG!$G$6,CONFIG!$G$5,CONFIG!$G$6)</f>
        <v/>
      </c>
      <c r="C341" s="4" t="n"/>
      <c r="D341" s="4" t="n"/>
      <c r="E341" s="9" t="n"/>
      <c r="F341" s="9" t="n"/>
      <c r="G341" s="9" t="n"/>
      <c r="H341" s="9">
        <f>IF(OR(E341&gt;0,F341&gt;0,G341&gt;0),SUM(E341:G341),"")</f>
        <v/>
      </c>
      <c r="I341" s="4" t="n"/>
      <c r="J341" s="4" t="n"/>
    </row>
    <row r="342">
      <c r="A342" s="12">
        <f>IF(B342=CONFIG!$G$5,A341+1,A341)</f>
        <v/>
      </c>
      <c r="B342" s="4">
        <f>IF(B341=CONFIG!$G$6,CONFIG!$G$5,CONFIG!$G$6)</f>
        <v/>
      </c>
      <c r="C342" s="4" t="n"/>
      <c r="D342" s="4" t="n"/>
      <c r="E342" s="9" t="n"/>
      <c r="F342" s="9" t="n"/>
      <c r="G342" s="9" t="n"/>
      <c r="H342" s="9">
        <f>IF(OR(E342&gt;0,F342&gt;0,G342&gt;0),SUM(E342:G342),"")</f>
        <v/>
      </c>
      <c r="I342" s="4" t="n"/>
      <c r="J342" s="4" t="n"/>
    </row>
    <row r="343">
      <c r="A343" s="12">
        <f>IF(B343=CONFIG!$G$5,A342+1,A342)</f>
        <v/>
      </c>
      <c r="B343" s="4">
        <f>IF(B342=CONFIG!$G$6,CONFIG!$G$5,CONFIG!$G$6)</f>
        <v/>
      </c>
      <c r="C343" s="4" t="n"/>
      <c r="D343" s="4" t="n"/>
      <c r="E343" s="9" t="n"/>
      <c r="F343" s="9" t="n"/>
      <c r="G343" s="9" t="n"/>
      <c r="H343" s="9">
        <f>IF(OR(E343&gt;0,F343&gt;0,G343&gt;0),SUM(E343:G343),"")</f>
        <v/>
      </c>
      <c r="I343" s="4" t="n"/>
      <c r="J343" s="4" t="n"/>
    </row>
    <row r="344">
      <c r="A344" s="12">
        <f>IF(B344=CONFIG!$G$5,A343+1,A343)</f>
        <v/>
      </c>
      <c r="B344" s="4">
        <f>IF(B343=CONFIG!$G$6,CONFIG!$G$5,CONFIG!$G$6)</f>
        <v/>
      </c>
      <c r="C344" s="4" t="n"/>
      <c r="D344" s="4" t="n"/>
      <c r="E344" s="9" t="n"/>
      <c r="F344" s="9" t="n"/>
      <c r="G344" s="9" t="n"/>
      <c r="H344" s="9">
        <f>IF(OR(E344&gt;0,F344&gt;0,G344&gt;0),SUM(E344:G344),"")</f>
        <v/>
      </c>
      <c r="I344" s="4" t="n"/>
      <c r="J344" s="4" t="n"/>
    </row>
    <row r="345">
      <c r="A345" s="12">
        <f>IF(B345=CONFIG!$G$5,A344+1,A344)</f>
        <v/>
      </c>
      <c r="B345" s="4">
        <f>IF(B344=CONFIG!$G$6,CONFIG!$G$5,CONFIG!$G$6)</f>
        <v/>
      </c>
      <c r="C345" s="4" t="n"/>
      <c r="D345" s="4" t="n"/>
      <c r="E345" s="9" t="n"/>
      <c r="F345" s="9" t="n"/>
      <c r="G345" s="9" t="n"/>
      <c r="H345" s="9">
        <f>IF(OR(E345&gt;0,F345&gt;0,G345&gt;0),SUM(E345:G345),"")</f>
        <v/>
      </c>
      <c r="I345" s="4" t="n"/>
      <c r="J345" s="4" t="n"/>
    </row>
    <row r="346">
      <c r="A346" s="12">
        <f>IF(B346=CONFIG!$G$5,A345+1,A345)</f>
        <v/>
      </c>
      <c r="B346" s="4">
        <f>IF(B345=CONFIG!$G$6,CONFIG!$G$5,CONFIG!$G$6)</f>
        <v/>
      </c>
      <c r="C346" s="4" t="n"/>
      <c r="D346" s="4" t="n"/>
      <c r="E346" s="9" t="n"/>
      <c r="F346" s="9" t="n"/>
      <c r="G346" s="9" t="n"/>
      <c r="H346" s="9">
        <f>IF(OR(E346&gt;0,F346&gt;0,G346&gt;0),SUM(E346:G346),"")</f>
        <v/>
      </c>
      <c r="I346" s="4" t="n"/>
      <c r="J346" s="4" t="n"/>
    </row>
    <row r="347">
      <c r="A347" s="12">
        <f>IF(B347=CONFIG!$G$5,A346+1,A346)</f>
        <v/>
      </c>
      <c r="B347" s="4">
        <f>IF(B346=CONFIG!$G$6,CONFIG!$G$5,CONFIG!$G$6)</f>
        <v/>
      </c>
      <c r="C347" s="4" t="n"/>
      <c r="D347" s="4" t="n"/>
      <c r="E347" s="9" t="n"/>
      <c r="F347" s="9" t="n"/>
      <c r="G347" s="9" t="n"/>
      <c r="H347" s="9">
        <f>IF(OR(E347&gt;0,F347&gt;0,G347&gt;0),SUM(E347:G347),"")</f>
        <v/>
      </c>
      <c r="I347" s="4" t="n"/>
      <c r="J347" s="4" t="n"/>
    </row>
    <row r="348">
      <c r="A348" s="12">
        <f>IF(B348=CONFIG!$G$5,A347+1,A347)</f>
        <v/>
      </c>
      <c r="B348" s="4">
        <f>IF(B347=CONFIG!$G$6,CONFIG!$G$5,CONFIG!$G$6)</f>
        <v/>
      </c>
      <c r="C348" s="4" t="n"/>
      <c r="D348" s="4" t="n"/>
      <c r="E348" s="9" t="n"/>
      <c r="F348" s="9" t="n"/>
      <c r="G348" s="9" t="n"/>
      <c r="H348" s="9">
        <f>IF(OR(E348&gt;0,F348&gt;0,G348&gt;0),SUM(E348:G348),"")</f>
        <v/>
      </c>
      <c r="I348" s="4" t="n"/>
      <c r="J348" s="4" t="n"/>
    </row>
    <row r="349">
      <c r="A349" s="12">
        <f>IF(B349=CONFIG!$G$5,A348+1,A348)</f>
        <v/>
      </c>
      <c r="B349" s="4">
        <f>IF(B348=CONFIG!$G$6,CONFIG!$G$5,CONFIG!$G$6)</f>
        <v/>
      </c>
      <c r="C349" s="4" t="n"/>
      <c r="D349" s="4" t="n"/>
      <c r="E349" s="9" t="n"/>
      <c r="F349" s="9" t="n"/>
      <c r="G349" s="9" t="n"/>
      <c r="H349" s="9">
        <f>IF(OR(E349&gt;0,F349&gt;0,G349&gt;0),SUM(E349:G349),"")</f>
        <v/>
      </c>
      <c r="I349" s="4" t="n"/>
      <c r="J349" s="4" t="n"/>
    </row>
    <row r="350">
      <c r="A350" s="12">
        <f>IF(B350=CONFIG!$G$5,A349+1,A349)</f>
        <v/>
      </c>
      <c r="B350" s="4">
        <f>IF(B349=CONFIG!$G$6,CONFIG!$G$5,CONFIG!$G$6)</f>
        <v/>
      </c>
      <c r="C350" s="4" t="n"/>
      <c r="D350" s="4" t="n"/>
      <c r="E350" s="9" t="n"/>
      <c r="F350" s="9" t="n"/>
      <c r="G350" s="9" t="n"/>
      <c r="H350" s="9">
        <f>IF(OR(E350&gt;0,F350&gt;0,G350&gt;0),SUM(E350:G350),"")</f>
        <v/>
      </c>
      <c r="I350" s="4" t="n"/>
      <c r="J350" s="4" t="n"/>
    </row>
    <row r="351">
      <c r="A351" s="12">
        <f>IF(B351=CONFIG!$G$5,A350+1,A350)</f>
        <v/>
      </c>
      <c r="B351" s="4">
        <f>IF(B350=CONFIG!$G$6,CONFIG!$G$5,CONFIG!$G$6)</f>
        <v/>
      </c>
      <c r="C351" s="4" t="n"/>
      <c r="D351" s="4" t="n"/>
      <c r="E351" s="9" t="n"/>
      <c r="F351" s="9" t="n"/>
      <c r="G351" s="9" t="n"/>
      <c r="H351" s="9">
        <f>IF(OR(E351&gt;0,F351&gt;0,G351&gt;0),SUM(E351:G351),"")</f>
        <v/>
      </c>
      <c r="I351" s="4" t="n"/>
      <c r="J351" s="4" t="n"/>
    </row>
    <row r="352">
      <c r="A352" s="12">
        <f>IF(B352=CONFIG!$G$5,A351+1,A351)</f>
        <v/>
      </c>
      <c r="B352" s="4">
        <f>IF(B351=CONFIG!$G$6,CONFIG!$G$5,CONFIG!$G$6)</f>
        <v/>
      </c>
      <c r="C352" s="4" t="n"/>
      <c r="D352" s="4" t="n"/>
      <c r="E352" s="9" t="n"/>
      <c r="F352" s="9" t="n"/>
      <c r="G352" s="9" t="n"/>
      <c r="H352" s="9">
        <f>IF(OR(E352&gt;0,F352&gt;0,G352&gt;0),SUM(E352:G352),"")</f>
        <v/>
      </c>
      <c r="I352" s="4" t="n"/>
      <c r="J352" s="4" t="n"/>
    </row>
    <row r="353">
      <c r="A353" s="12">
        <f>IF(B353=CONFIG!$G$5,A352+1,A352)</f>
        <v/>
      </c>
      <c r="B353" s="4">
        <f>IF(B352=CONFIG!$G$6,CONFIG!$G$5,CONFIG!$G$6)</f>
        <v/>
      </c>
      <c r="C353" s="4" t="n"/>
      <c r="D353" s="4" t="n"/>
      <c r="E353" s="9" t="n"/>
      <c r="F353" s="9" t="n"/>
      <c r="G353" s="9" t="n"/>
      <c r="H353" s="9">
        <f>IF(OR(E353&gt;0,F353&gt;0,G353&gt;0),SUM(E353:G353),"")</f>
        <v/>
      </c>
      <c r="I353" s="4" t="n"/>
      <c r="J353" s="4" t="n"/>
    </row>
    <row r="354">
      <c r="A354" s="12">
        <f>IF(B354=CONFIG!$G$5,A353+1,A353)</f>
        <v/>
      </c>
      <c r="B354" s="4">
        <f>IF(B353=CONFIG!$G$6,CONFIG!$G$5,CONFIG!$G$6)</f>
        <v/>
      </c>
      <c r="C354" s="4" t="n"/>
      <c r="D354" s="4" t="n"/>
      <c r="E354" s="9" t="n"/>
      <c r="F354" s="9" t="n"/>
      <c r="G354" s="9" t="n"/>
      <c r="H354" s="9">
        <f>IF(OR(E354&gt;0,F354&gt;0,G354&gt;0),SUM(E354:G354),"")</f>
        <v/>
      </c>
      <c r="I354" s="4" t="n"/>
      <c r="J354" s="4" t="n"/>
    </row>
    <row r="355">
      <c r="A355" s="12">
        <f>IF(B355=CONFIG!$G$5,A354+1,A354)</f>
        <v/>
      </c>
      <c r="B355" s="4">
        <f>IF(B354=CONFIG!$G$6,CONFIG!$G$5,CONFIG!$G$6)</f>
        <v/>
      </c>
      <c r="C355" s="4" t="n"/>
      <c r="D355" s="4" t="n"/>
      <c r="E355" s="9" t="n"/>
      <c r="F355" s="9" t="n"/>
      <c r="G355" s="9" t="n"/>
      <c r="H355" s="9">
        <f>IF(OR(E355&gt;0,F355&gt;0,G355&gt;0),SUM(E355:G355),"")</f>
        <v/>
      </c>
      <c r="I355" s="4" t="n"/>
      <c r="J355" s="4" t="n"/>
    </row>
    <row r="356">
      <c r="A356" s="12">
        <f>IF(B356=CONFIG!$G$5,A355+1,A355)</f>
        <v/>
      </c>
      <c r="B356" s="4">
        <f>IF(B355=CONFIG!$G$6,CONFIG!$G$5,CONFIG!$G$6)</f>
        <v/>
      </c>
      <c r="C356" s="4" t="n"/>
      <c r="D356" s="4" t="n"/>
      <c r="E356" s="9" t="n"/>
      <c r="F356" s="9" t="n"/>
      <c r="G356" s="9" t="n"/>
      <c r="H356" s="9">
        <f>IF(OR(E356&gt;0,F356&gt;0,G356&gt;0),SUM(E356:G356),"")</f>
        <v/>
      </c>
      <c r="I356" s="4" t="n"/>
      <c r="J356" s="4" t="n"/>
    </row>
    <row r="357">
      <c r="A357" s="12">
        <f>IF(B357=CONFIG!$G$5,A356+1,A356)</f>
        <v/>
      </c>
      <c r="B357" s="4">
        <f>IF(B356=CONFIG!$G$6,CONFIG!$G$5,CONFIG!$G$6)</f>
        <v/>
      </c>
      <c r="C357" s="4" t="n"/>
      <c r="D357" s="4" t="n"/>
      <c r="E357" s="9" t="n"/>
      <c r="F357" s="9" t="n"/>
      <c r="G357" s="9" t="n"/>
      <c r="H357" s="9">
        <f>IF(OR(E357&gt;0,F357&gt;0,G357&gt;0),SUM(E357:G357),"")</f>
        <v/>
      </c>
      <c r="I357" s="4" t="n"/>
      <c r="J357" s="4" t="n"/>
    </row>
    <row r="358">
      <c r="A358" s="12">
        <f>IF(B358=CONFIG!$G$5,A357+1,A357)</f>
        <v/>
      </c>
      <c r="B358" s="4">
        <f>IF(B357=CONFIG!$G$6,CONFIG!$G$5,CONFIG!$G$6)</f>
        <v/>
      </c>
      <c r="C358" s="4" t="n"/>
      <c r="D358" s="4" t="n"/>
      <c r="E358" s="9" t="n"/>
      <c r="F358" s="9" t="n"/>
      <c r="G358" s="9" t="n"/>
      <c r="H358" s="9">
        <f>IF(OR(E358&gt;0,F358&gt;0,G358&gt;0),SUM(E358:G358),"")</f>
        <v/>
      </c>
      <c r="I358" s="4" t="n"/>
      <c r="J358" s="4" t="n"/>
    </row>
    <row r="359">
      <c r="A359" s="12">
        <f>IF(B359=CONFIG!$G$5,A358+1,A358)</f>
        <v/>
      </c>
      <c r="B359" s="4">
        <f>IF(B358=CONFIG!$G$6,CONFIG!$G$5,CONFIG!$G$6)</f>
        <v/>
      </c>
      <c r="C359" s="4" t="n"/>
      <c r="D359" s="4" t="n"/>
      <c r="E359" s="9" t="n"/>
      <c r="F359" s="9" t="n"/>
      <c r="G359" s="9" t="n"/>
      <c r="H359" s="9">
        <f>IF(OR(E359&gt;0,F359&gt;0,G359&gt;0),SUM(E359:G359),"")</f>
        <v/>
      </c>
      <c r="I359" s="4" t="n"/>
      <c r="J359" s="4" t="n"/>
    </row>
    <row r="360">
      <c r="A360" s="12">
        <f>IF(B360=CONFIG!$G$5,A359+1,A359)</f>
        <v/>
      </c>
      <c r="B360" s="4">
        <f>IF(B359=CONFIG!$G$6,CONFIG!$G$5,CONFIG!$G$6)</f>
        <v/>
      </c>
      <c r="C360" s="4" t="n"/>
      <c r="D360" s="4" t="n"/>
      <c r="E360" s="9" t="n"/>
      <c r="F360" s="9" t="n"/>
      <c r="G360" s="9" t="n"/>
      <c r="H360" s="9">
        <f>IF(OR(E360&gt;0,F360&gt;0,G360&gt;0),SUM(E360:G360),"")</f>
        <v/>
      </c>
      <c r="I360" s="4" t="n"/>
      <c r="J360" s="4" t="n"/>
    </row>
    <row r="361">
      <c r="A361" s="12">
        <f>IF(B361=CONFIG!$G$5,A360+1,A360)</f>
        <v/>
      </c>
      <c r="B361" s="4">
        <f>IF(B360=CONFIG!$G$6,CONFIG!$G$5,CONFIG!$G$6)</f>
        <v/>
      </c>
      <c r="C361" s="4" t="n"/>
      <c r="D361" s="4" t="n"/>
      <c r="E361" s="9" t="n"/>
      <c r="F361" s="9" t="n"/>
      <c r="G361" s="9" t="n"/>
      <c r="H361" s="9">
        <f>IF(OR(E361&gt;0,F361&gt;0,G361&gt;0),SUM(E361:G361),"")</f>
        <v/>
      </c>
      <c r="I361" s="4" t="n"/>
      <c r="J361" s="4" t="n"/>
    </row>
    <row r="362">
      <c r="A362" s="12">
        <f>IF(B362=CONFIG!$G$5,A361+1,A361)</f>
        <v/>
      </c>
      <c r="B362" s="4">
        <f>IF(B361=CONFIG!$G$6,CONFIG!$G$5,CONFIG!$G$6)</f>
        <v/>
      </c>
      <c r="C362" s="4" t="n"/>
      <c r="D362" s="4" t="n"/>
      <c r="E362" s="9" t="n"/>
      <c r="F362" s="9" t="n"/>
      <c r="G362" s="9" t="n"/>
      <c r="H362" s="9">
        <f>IF(OR(E362&gt;0,F362&gt;0,G362&gt;0),SUM(E362:G362),"")</f>
        <v/>
      </c>
      <c r="I362" s="4" t="n"/>
      <c r="J362" s="4" t="n"/>
    </row>
    <row r="363">
      <c r="A363" s="12">
        <f>IF(B363=CONFIG!$G$5,A362+1,A362)</f>
        <v/>
      </c>
      <c r="B363" s="4">
        <f>IF(B362=CONFIG!$G$6,CONFIG!$G$5,CONFIG!$G$6)</f>
        <v/>
      </c>
      <c r="C363" s="4" t="n"/>
      <c r="D363" s="4" t="n"/>
      <c r="E363" s="9" t="n"/>
      <c r="F363" s="9" t="n"/>
      <c r="G363" s="9" t="n"/>
      <c r="H363" s="9">
        <f>IF(OR(E363&gt;0,F363&gt;0,G363&gt;0),SUM(E363:G363),"")</f>
        <v/>
      </c>
      <c r="I363" s="4" t="n"/>
      <c r="J363" s="4" t="n"/>
    </row>
    <row r="364">
      <c r="A364" s="12">
        <f>IF(B364=CONFIG!$G$5,A363+1,A363)</f>
        <v/>
      </c>
      <c r="B364" s="4">
        <f>IF(B363=CONFIG!$G$6,CONFIG!$G$5,CONFIG!$G$6)</f>
        <v/>
      </c>
      <c r="C364" s="4" t="n"/>
      <c r="D364" s="4" t="n"/>
      <c r="E364" s="9" t="n"/>
      <c r="F364" s="9" t="n"/>
      <c r="G364" s="9" t="n"/>
      <c r="H364" s="9">
        <f>IF(OR(E364&gt;0,F364&gt;0,G364&gt;0),SUM(E364:G364),"")</f>
        <v/>
      </c>
      <c r="I364" s="4" t="n"/>
      <c r="J364" s="4" t="n"/>
    </row>
    <row r="365">
      <c r="A365" s="12">
        <f>IF(B365=CONFIG!$G$5,A364+1,A364)</f>
        <v/>
      </c>
      <c r="B365" s="4">
        <f>IF(B364=CONFIG!$G$6,CONFIG!$G$5,CONFIG!$G$6)</f>
        <v/>
      </c>
      <c r="C365" s="4" t="n"/>
      <c r="D365" s="4" t="n"/>
      <c r="E365" s="9" t="n"/>
      <c r="F365" s="9" t="n"/>
      <c r="G365" s="9" t="n"/>
      <c r="H365" s="9">
        <f>IF(OR(E365&gt;0,F365&gt;0,G365&gt;0),SUM(E365:G365),"")</f>
        <v/>
      </c>
      <c r="I365" s="4" t="n"/>
      <c r="J365" s="4" t="n"/>
    </row>
    <row r="366">
      <c r="A366" s="12">
        <f>IF(B366=CONFIG!$G$5,A365+1,A365)</f>
        <v/>
      </c>
      <c r="B366" s="4">
        <f>IF(B365=CONFIG!$G$6,CONFIG!$G$5,CONFIG!$G$6)</f>
        <v/>
      </c>
      <c r="C366" s="4" t="n"/>
      <c r="D366" s="4" t="n"/>
      <c r="E366" s="9" t="n"/>
      <c r="F366" s="9" t="n"/>
      <c r="G366" s="9" t="n"/>
      <c r="H366" s="9">
        <f>IF(OR(E366&gt;0,F366&gt;0,G366&gt;0),SUM(E366:G366),"")</f>
        <v/>
      </c>
      <c r="I366" s="4" t="n"/>
      <c r="J366" s="4" t="n"/>
    </row>
    <row r="367">
      <c r="A367" s="12">
        <f>IF(B367=CONFIG!$G$5,A366+1,A366)</f>
        <v/>
      </c>
      <c r="B367" s="4">
        <f>IF(B366=CONFIG!$G$6,CONFIG!$G$5,CONFIG!$G$6)</f>
        <v/>
      </c>
      <c r="C367" s="4" t="n"/>
      <c r="D367" s="4" t="n"/>
      <c r="E367" s="9" t="n"/>
      <c r="F367" s="9" t="n"/>
      <c r="G367" s="9" t="n"/>
      <c r="H367" s="9">
        <f>IF(OR(E367&gt;0,F367&gt;0,G367&gt;0),SUM(E367:G367),"")</f>
        <v/>
      </c>
      <c r="I367" s="4" t="n"/>
      <c r="J367" s="4" t="n"/>
    </row>
    <row r="368">
      <c r="A368" s="12">
        <f>IF(B368=CONFIG!$G$5,A367+1,A367)</f>
        <v/>
      </c>
      <c r="B368" s="4">
        <f>IF(B367=CONFIG!$G$6,CONFIG!$G$5,CONFIG!$G$6)</f>
        <v/>
      </c>
      <c r="C368" s="4" t="n"/>
      <c r="D368" s="4" t="n"/>
      <c r="E368" s="9" t="n"/>
      <c r="F368" s="9" t="n"/>
      <c r="G368" s="9" t="n"/>
      <c r="H368" s="9">
        <f>IF(OR(E368&gt;0,F368&gt;0,G368&gt;0),SUM(E368:G368),"")</f>
        <v/>
      </c>
      <c r="I368" s="4" t="n"/>
      <c r="J368" s="4" t="n"/>
    </row>
    <row r="369">
      <c r="A369" s="12">
        <f>IF(B369=CONFIG!$G$5,A368+1,A368)</f>
        <v/>
      </c>
      <c r="B369" s="4">
        <f>IF(B368=CONFIG!$G$6,CONFIG!$G$5,CONFIG!$G$6)</f>
        <v/>
      </c>
      <c r="C369" s="4" t="n"/>
      <c r="D369" s="4" t="n"/>
      <c r="E369" s="9" t="n"/>
      <c r="F369" s="9" t="n"/>
      <c r="G369" s="9" t="n"/>
      <c r="H369" s="9">
        <f>IF(OR(E369&gt;0,F369&gt;0,G369&gt;0),SUM(E369:G369),"")</f>
        <v/>
      </c>
      <c r="I369" s="4" t="n"/>
      <c r="J369" s="4" t="n"/>
    </row>
    <row r="370">
      <c r="A370" s="12">
        <f>IF(B370=CONFIG!$G$5,A369+1,A369)</f>
        <v/>
      </c>
      <c r="B370" s="4">
        <f>IF(B369=CONFIG!$G$6,CONFIG!$G$5,CONFIG!$G$6)</f>
        <v/>
      </c>
      <c r="C370" s="4" t="n"/>
      <c r="D370" s="4" t="n"/>
      <c r="E370" s="9" t="n"/>
      <c r="F370" s="9" t="n"/>
      <c r="G370" s="9" t="n"/>
      <c r="H370" s="9">
        <f>IF(OR(E370&gt;0,F370&gt;0,G370&gt;0),SUM(E370:G370),"")</f>
        <v/>
      </c>
      <c r="I370" s="4" t="n"/>
      <c r="J370" s="4" t="n"/>
    </row>
    <row r="371">
      <c r="A371" s="12">
        <f>IF(B371=CONFIG!$G$5,A370+1,A370)</f>
        <v/>
      </c>
      <c r="B371" s="4">
        <f>IF(B370=CONFIG!$G$6,CONFIG!$G$5,CONFIG!$G$6)</f>
        <v/>
      </c>
      <c r="C371" s="4" t="n"/>
      <c r="D371" s="4" t="n"/>
      <c r="E371" s="9" t="n"/>
      <c r="F371" s="9" t="n"/>
      <c r="G371" s="9" t="n"/>
      <c r="H371" s="9">
        <f>IF(OR(E371&gt;0,F371&gt;0,G371&gt;0),SUM(E371:G371),"")</f>
        <v/>
      </c>
      <c r="I371" s="4" t="n"/>
      <c r="J371" s="4" t="n"/>
    </row>
    <row r="372">
      <c r="A372" s="12">
        <f>IF(B372=CONFIG!$G$5,A371+1,A371)</f>
        <v/>
      </c>
      <c r="B372" s="4">
        <f>IF(B371=CONFIG!$G$6,CONFIG!$G$5,CONFIG!$G$6)</f>
        <v/>
      </c>
      <c r="C372" s="4" t="n"/>
      <c r="D372" s="4" t="n"/>
      <c r="E372" s="9" t="n"/>
      <c r="F372" s="9" t="n"/>
      <c r="G372" s="9" t="n"/>
      <c r="H372" s="9">
        <f>IF(OR(E372&gt;0,F372&gt;0,G372&gt;0),SUM(E372:G372),"")</f>
        <v/>
      </c>
      <c r="I372" s="4" t="n"/>
      <c r="J372" s="4" t="n"/>
    </row>
    <row r="373">
      <c r="A373" s="12">
        <f>IF(B373=CONFIG!$G$5,A372+1,A372)</f>
        <v/>
      </c>
      <c r="B373" s="4">
        <f>IF(B372=CONFIG!$G$6,CONFIG!$G$5,CONFIG!$G$6)</f>
        <v/>
      </c>
      <c r="C373" s="4" t="n"/>
      <c r="D373" s="4" t="n"/>
      <c r="E373" s="9" t="n"/>
      <c r="F373" s="9" t="n"/>
      <c r="G373" s="9" t="n"/>
      <c r="H373" s="9">
        <f>IF(OR(E373&gt;0,F373&gt;0,G373&gt;0),SUM(E373:G373),"")</f>
        <v/>
      </c>
      <c r="I373" s="4" t="n"/>
      <c r="J373" s="4" t="n"/>
    </row>
    <row r="374">
      <c r="A374" s="12">
        <f>IF(B374=CONFIG!$G$5,A373+1,A373)</f>
        <v/>
      </c>
      <c r="B374" s="4">
        <f>IF(B373=CONFIG!$G$6,CONFIG!$G$5,CONFIG!$G$6)</f>
        <v/>
      </c>
      <c r="C374" s="4" t="n"/>
      <c r="D374" s="4" t="n"/>
      <c r="E374" s="9" t="n"/>
      <c r="F374" s="9" t="n"/>
      <c r="G374" s="9" t="n"/>
      <c r="H374" s="9">
        <f>IF(OR(E374&gt;0,F374&gt;0,G374&gt;0),SUM(E374:G374),"")</f>
        <v/>
      </c>
      <c r="I374" s="4" t="n"/>
      <c r="J374" s="4" t="n"/>
    </row>
    <row r="375">
      <c r="A375" s="12">
        <f>IF(B375=CONFIG!$G$5,A374+1,A374)</f>
        <v/>
      </c>
      <c r="B375" s="4">
        <f>IF(B374=CONFIG!$G$6,CONFIG!$G$5,CONFIG!$G$6)</f>
        <v/>
      </c>
      <c r="C375" s="4" t="n"/>
      <c r="D375" s="4" t="n"/>
      <c r="E375" s="9" t="n"/>
      <c r="F375" s="9" t="n"/>
      <c r="G375" s="9" t="n"/>
      <c r="H375" s="9">
        <f>IF(OR(E375&gt;0,F375&gt;0,G375&gt;0),SUM(E375:G375),"")</f>
        <v/>
      </c>
      <c r="I375" s="4" t="n"/>
      <c r="J375" s="4" t="n"/>
    </row>
    <row r="376">
      <c r="A376" s="12">
        <f>IF(B376=CONFIG!$G$5,A375+1,A375)</f>
        <v/>
      </c>
      <c r="B376" s="4">
        <f>IF(B375=CONFIG!$G$6,CONFIG!$G$5,CONFIG!$G$6)</f>
        <v/>
      </c>
      <c r="C376" s="4" t="n"/>
      <c r="D376" s="4" t="n"/>
      <c r="E376" s="9" t="n"/>
      <c r="F376" s="9" t="n"/>
      <c r="G376" s="9" t="n"/>
      <c r="H376" s="9">
        <f>IF(OR(E376&gt;0,F376&gt;0,G376&gt;0),SUM(E376:G376),"")</f>
        <v/>
      </c>
      <c r="I376" s="4" t="n"/>
      <c r="J376" s="4" t="n"/>
    </row>
    <row r="377">
      <c r="A377" s="12">
        <f>IF(B377=CONFIG!$G$5,A376+1,A376)</f>
        <v/>
      </c>
      <c r="B377" s="4">
        <f>IF(B376=CONFIG!$G$6,CONFIG!$G$5,CONFIG!$G$6)</f>
        <v/>
      </c>
      <c r="C377" s="4" t="n"/>
      <c r="D377" s="4" t="n"/>
      <c r="E377" s="9" t="n"/>
      <c r="F377" s="9" t="n"/>
      <c r="G377" s="9" t="n"/>
      <c r="H377" s="9">
        <f>IF(OR(E377&gt;0,F377&gt;0,G377&gt;0),SUM(E377:G377),"")</f>
        <v/>
      </c>
      <c r="I377" s="4" t="n"/>
      <c r="J377" s="4" t="n"/>
    </row>
    <row r="378">
      <c r="A378" s="12">
        <f>IF(B378=CONFIG!$G$5,A377+1,A377)</f>
        <v/>
      </c>
      <c r="B378" s="4">
        <f>IF(B377=CONFIG!$G$6,CONFIG!$G$5,CONFIG!$G$6)</f>
        <v/>
      </c>
      <c r="C378" s="4" t="n"/>
      <c r="D378" s="4" t="n"/>
      <c r="E378" s="9" t="n"/>
      <c r="F378" s="9" t="n"/>
      <c r="G378" s="9" t="n"/>
      <c r="H378" s="9">
        <f>IF(OR(E378&gt;0,F378&gt;0,G378&gt;0),SUM(E378:G378),"")</f>
        <v/>
      </c>
      <c r="I378" s="4" t="n"/>
      <c r="J378" s="4" t="n"/>
    </row>
    <row r="379">
      <c r="A379" s="12">
        <f>IF(B379=CONFIG!$G$5,A378+1,A378)</f>
        <v/>
      </c>
      <c r="B379" s="4">
        <f>IF(B378=CONFIG!$G$6,CONFIG!$G$5,CONFIG!$G$6)</f>
        <v/>
      </c>
      <c r="C379" s="4" t="n"/>
      <c r="D379" s="4" t="n"/>
      <c r="E379" s="9" t="n"/>
      <c r="F379" s="9" t="n"/>
      <c r="G379" s="9" t="n"/>
      <c r="H379" s="9">
        <f>IF(OR(E379&gt;0,F379&gt;0,G379&gt;0),SUM(E379:G379),"")</f>
        <v/>
      </c>
      <c r="I379" s="4" t="n"/>
      <c r="J379" s="4" t="n"/>
    </row>
    <row r="380">
      <c r="A380" s="12">
        <f>IF(B380=CONFIG!$G$5,A379+1,A379)</f>
        <v/>
      </c>
      <c r="B380" s="4">
        <f>IF(B379=CONFIG!$G$6,CONFIG!$G$5,CONFIG!$G$6)</f>
        <v/>
      </c>
      <c r="C380" s="4" t="n"/>
      <c r="D380" s="4" t="n"/>
      <c r="E380" s="9" t="n"/>
      <c r="F380" s="9" t="n"/>
      <c r="G380" s="9" t="n"/>
      <c r="H380" s="9">
        <f>IF(OR(E380&gt;0,F380&gt;0,G380&gt;0),SUM(E380:G380),"")</f>
        <v/>
      </c>
      <c r="I380" s="4" t="n"/>
      <c r="J380" s="4" t="n"/>
    </row>
    <row r="381">
      <c r="A381" s="12">
        <f>IF(B381=CONFIG!$G$5,A380+1,A380)</f>
        <v/>
      </c>
      <c r="B381" s="4">
        <f>IF(B380=CONFIG!$G$6,CONFIG!$G$5,CONFIG!$G$6)</f>
        <v/>
      </c>
      <c r="C381" s="4" t="n"/>
      <c r="D381" s="4" t="n"/>
      <c r="E381" s="9" t="n"/>
      <c r="F381" s="9" t="n"/>
      <c r="G381" s="9" t="n"/>
      <c r="H381" s="9">
        <f>IF(OR(E381&gt;0,F381&gt;0,G381&gt;0),SUM(E381:G381),"")</f>
        <v/>
      </c>
      <c r="I381" s="4" t="n"/>
      <c r="J381" s="4" t="n"/>
    </row>
    <row r="382">
      <c r="A382" s="12">
        <f>IF(B382=CONFIG!$G$5,A381+1,A381)</f>
        <v/>
      </c>
      <c r="B382" s="4">
        <f>IF(B381=CONFIG!$G$6,CONFIG!$G$5,CONFIG!$G$6)</f>
        <v/>
      </c>
      <c r="C382" s="4" t="n"/>
      <c r="D382" s="4" t="n"/>
      <c r="E382" s="9" t="n"/>
      <c r="F382" s="9" t="n"/>
      <c r="G382" s="9" t="n"/>
      <c r="H382" s="9">
        <f>IF(OR(E382&gt;0,F382&gt;0,G382&gt;0),SUM(E382:G382),"")</f>
        <v/>
      </c>
      <c r="I382" s="4" t="n"/>
      <c r="J382" s="4" t="n"/>
    </row>
    <row r="383">
      <c r="A383" s="12">
        <f>IF(B383=CONFIG!$G$5,A382+1,A382)</f>
        <v/>
      </c>
      <c r="B383" s="4">
        <f>IF(B382=CONFIG!$G$6,CONFIG!$G$5,CONFIG!$G$6)</f>
        <v/>
      </c>
      <c r="C383" s="4" t="n"/>
      <c r="D383" s="4" t="n"/>
      <c r="E383" s="9" t="n"/>
      <c r="F383" s="9" t="n"/>
      <c r="G383" s="9" t="n"/>
      <c r="H383" s="9">
        <f>IF(OR(E383&gt;0,F383&gt;0,G383&gt;0),SUM(E383:G383),"")</f>
        <v/>
      </c>
      <c r="I383" s="4" t="n"/>
      <c r="J383" s="4" t="n"/>
    </row>
    <row r="384">
      <c r="A384" s="12">
        <f>IF(B384=CONFIG!$G$5,A383+1,A383)</f>
        <v/>
      </c>
      <c r="B384" s="4">
        <f>IF(B383=CONFIG!$G$6,CONFIG!$G$5,CONFIG!$G$6)</f>
        <v/>
      </c>
      <c r="C384" s="4" t="n"/>
      <c r="D384" s="4" t="n"/>
      <c r="E384" s="9" t="n"/>
      <c r="F384" s="9" t="n"/>
      <c r="G384" s="9" t="n"/>
      <c r="H384" s="9">
        <f>IF(OR(E384&gt;0,F384&gt;0,G384&gt;0),SUM(E384:G384),"")</f>
        <v/>
      </c>
      <c r="I384" s="4" t="n"/>
      <c r="J384" s="4" t="n"/>
    </row>
    <row r="385">
      <c r="A385" s="12">
        <f>IF(B385=CONFIG!$G$5,A384+1,A384)</f>
        <v/>
      </c>
      <c r="B385" s="4">
        <f>IF(B384=CONFIG!$G$6,CONFIG!$G$5,CONFIG!$G$6)</f>
        <v/>
      </c>
      <c r="C385" s="4" t="n"/>
      <c r="D385" s="4" t="n"/>
      <c r="E385" s="9" t="n"/>
      <c r="F385" s="9" t="n"/>
      <c r="G385" s="9" t="n"/>
      <c r="H385" s="9">
        <f>IF(OR(E385&gt;0,F385&gt;0,G385&gt;0),SUM(E385:G385),"")</f>
        <v/>
      </c>
      <c r="I385" s="4" t="n"/>
      <c r="J385" s="4" t="n"/>
    </row>
    <row r="386">
      <c r="A386" s="12">
        <f>IF(B386=CONFIG!$G$5,A385+1,A385)</f>
        <v/>
      </c>
      <c r="B386" s="4">
        <f>IF(B385=CONFIG!$G$6,CONFIG!$G$5,CONFIG!$G$6)</f>
        <v/>
      </c>
      <c r="C386" s="4" t="n"/>
      <c r="D386" s="4" t="n"/>
      <c r="E386" s="9" t="n"/>
      <c r="F386" s="9" t="n"/>
      <c r="G386" s="9" t="n"/>
      <c r="H386" s="9">
        <f>IF(OR(E386&gt;0,F386&gt;0,G386&gt;0),SUM(E386:G386),"")</f>
        <v/>
      </c>
      <c r="I386" s="4" t="n"/>
      <c r="J386" s="4" t="n"/>
    </row>
    <row r="387">
      <c r="A387" s="12">
        <f>IF(B387=CONFIG!$G$5,A386+1,A386)</f>
        <v/>
      </c>
      <c r="B387" s="4">
        <f>IF(B386=CONFIG!$G$6,CONFIG!$G$5,CONFIG!$G$6)</f>
        <v/>
      </c>
      <c r="C387" s="4" t="n"/>
      <c r="D387" s="4" t="n"/>
      <c r="E387" s="9" t="n"/>
      <c r="F387" s="9" t="n"/>
      <c r="G387" s="9" t="n"/>
      <c r="H387" s="9">
        <f>IF(OR(E387&gt;0,F387&gt;0,G387&gt;0),SUM(E387:G387),"")</f>
        <v/>
      </c>
      <c r="I387" s="4" t="n"/>
      <c r="J387" s="4" t="n"/>
    </row>
    <row r="388">
      <c r="A388" s="12">
        <f>IF(B388=CONFIG!$G$5,A387+1,A387)</f>
        <v/>
      </c>
      <c r="B388" s="4">
        <f>IF(B387=CONFIG!$G$6,CONFIG!$G$5,CONFIG!$G$6)</f>
        <v/>
      </c>
      <c r="C388" s="4" t="n"/>
      <c r="D388" s="4" t="n"/>
      <c r="E388" s="9" t="n"/>
      <c r="F388" s="9" t="n"/>
      <c r="G388" s="9" t="n"/>
      <c r="H388" s="9">
        <f>IF(OR(E388&gt;0,F388&gt;0,G388&gt;0),SUM(E388:G388),"")</f>
        <v/>
      </c>
      <c r="I388" s="4" t="n"/>
      <c r="J388" s="4" t="n"/>
    </row>
    <row r="389">
      <c r="A389" s="12">
        <f>IF(B389=CONFIG!$G$5,A388+1,A388)</f>
        <v/>
      </c>
      <c r="B389" s="4">
        <f>IF(B388=CONFIG!$G$6,CONFIG!$G$5,CONFIG!$G$6)</f>
        <v/>
      </c>
      <c r="C389" s="4" t="n"/>
      <c r="D389" s="4" t="n"/>
      <c r="E389" s="9" t="n"/>
      <c r="F389" s="9" t="n"/>
      <c r="G389" s="9" t="n"/>
      <c r="H389" s="9">
        <f>IF(OR(E389&gt;0,F389&gt;0,G389&gt;0),SUM(E389:G389),"")</f>
        <v/>
      </c>
      <c r="I389" s="4" t="n"/>
      <c r="J389" s="4" t="n"/>
    </row>
    <row r="390">
      <c r="A390" s="12">
        <f>IF(B390=CONFIG!$G$5,A389+1,A389)</f>
        <v/>
      </c>
      <c r="B390" s="4">
        <f>IF(B389=CONFIG!$G$6,CONFIG!$G$5,CONFIG!$G$6)</f>
        <v/>
      </c>
      <c r="C390" s="4" t="n"/>
      <c r="D390" s="4" t="n"/>
      <c r="E390" s="9" t="n"/>
      <c r="F390" s="9" t="n"/>
      <c r="G390" s="9" t="n"/>
      <c r="H390" s="9">
        <f>IF(OR(E390&gt;0,F390&gt;0,G390&gt;0),SUM(E390:G390),"")</f>
        <v/>
      </c>
      <c r="I390" s="4" t="n"/>
      <c r="J390" s="4" t="n"/>
    </row>
    <row r="391">
      <c r="A391" s="12">
        <f>IF(B391=CONFIG!$G$5,A390+1,A390)</f>
        <v/>
      </c>
      <c r="B391" s="4">
        <f>IF(B390=CONFIG!$G$6,CONFIG!$G$5,CONFIG!$G$6)</f>
        <v/>
      </c>
      <c r="C391" s="4" t="n"/>
      <c r="D391" s="4" t="n"/>
      <c r="E391" s="9" t="n"/>
      <c r="F391" s="9" t="n"/>
      <c r="G391" s="9" t="n"/>
      <c r="H391" s="9">
        <f>IF(OR(E391&gt;0,F391&gt;0,G391&gt;0),SUM(E391:G391),"")</f>
        <v/>
      </c>
      <c r="I391" s="4" t="n"/>
      <c r="J391" s="4" t="n"/>
    </row>
    <row r="392">
      <c r="A392" s="12">
        <f>IF(B392=CONFIG!$G$5,A391+1,A391)</f>
        <v/>
      </c>
      <c r="B392" s="4">
        <f>IF(B391=CONFIG!$G$6,CONFIG!$G$5,CONFIG!$G$6)</f>
        <v/>
      </c>
      <c r="C392" s="4" t="n"/>
      <c r="D392" s="4" t="n"/>
      <c r="E392" s="9" t="n"/>
      <c r="F392" s="9" t="n"/>
      <c r="G392" s="9" t="n"/>
      <c r="H392" s="9">
        <f>IF(OR(E392&gt;0,F392&gt;0,G392&gt;0),SUM(E392:G392),"")</f>
        <v/>
      </c>
      <c r="I392" s="4" t="n"/>
      <c r="J392" s="4" t="n"/>
    </row>
    <row r="393">
      <c r="A393" s="12">
        <f>IF(B393=CONFIG!$G$5,A392+1,A392)</f>
        <v/>
      </c>
      <c r="B393" s="4">
        <f>IF(B392=CONFIG!$G$6,CONFIG!$G$5,CONFIG!$G$6)</f>
        <v/>
      </c>
      <c r="C393" s="4" t="n"/>
      <c r="D393" s="4" t="n"/>
      <c r="E393" s="9" t="n"/>
      <c r="F393" s="9" t="n"/>
      <c r="G393" s="9" t="n"/>
      <c r="H393" s="9">
        <f>IF(OR(E393&gt;0,F393&gt;0,G393&gt;0),SUM(E393:G393),"")</f>
        <v/>
      </c>
      <c r="I393" s="4" t="n"/>
      <c r="J393" s="4" t="n"/>
    </row>
    <row r="394">
      <c r="A394" s="12">
        <f>IF(B394=CONFIG!$G$5,A393+1,A393)</f>
        <v/>
      </c>
      <c r="B394" s="4">
        <f>IF(B393=CONFIG!$G$6,CONFIG!$G$5,CONFIG!$G$6)</f>
        <v/>
      </c>
      <c r="C394" s="4" t="n"/>
      <c r="D394" s="4" t="n"/>
      <c r="E394" s="9" t="n"/>
      <c r="F394" s="9" t="n"/>
      <c r="G394" s="9" t="n"/>
      <c r="H394" s="9">
        <f>IF(OR(E394&gt;0,F394&gt;0,G394&gt;0),SUM(E394:G394),"")</f>
        <v/>
      </c>
      <c r="I394" s="4" t="n"/>
      <c r="J394" s="4" t="n"/>
    </row>
    <row r="395">
      <c r="A395" s="12">
        <f>IF(B395=CONFIG!$G$5,A394+1,A394)</f>
        <v/>
      </c>
      <c r="B395" s="4">
        <f>IF(B394=CONFIG!$G$6,CONFIG!$G$5,CONFIG!$G$6)</f>
        <v/>
      </c>
      <c r="C395" s="4" t="n"/>
      <c r="D395" s="4" t="n"/>
      <c r="E395" s="9" t="n"/>
      <c r="F395" s="9" t="n"/>
      <c r="G395" s="9" t="n"/>
      <c r="H395" s="9">
        <f>IF(OR(E395&gt;0,F395&gt;0,G395&gt;0),SUM(E395:G395),"")</f>
        <v/>
      </c>
      <c r="I395" s="4" t="n"/>
      <c r="J395" s="4" t="n"/>
    </row>
    <row r="396">
      <c r="A396" s="12">
        <f>IF(B396=CONFIG!$G$5,A395+1,A395)</f>
        <v/>
      </c>
      <c r="B396" s="4">
        <f>IF(B395=CONFIG!$G$6,CONFIG!$G$5,CONFIG!$G$6)</f>
        <v/>
      </c>
      <c r="C396" s="4" t="n"/>
      <c r="D396" s="4" t="n"/>
      <c r="E396" s="9" t="n"/>
      <c r="F396" s="9" t="n"/>
      <c r="G396" s="9" t="n"/>
      <c r="H396" s="9">
        <f>IF(OR(E396&gt;0,F396&gt;0,G396&gt;0),SUM(E396:G396),"")</f>
        <v/>
      </c>
      <c r="I396" s="4" t="n"/>
      <c r="J396" s="4" t="n"/>
    </row>
    <row r="397">
      <c r="A397" s="12">
        <f>IF(B397=CONFIG!$G$5,A396+1,A396)</f>
        <v/>
      </c>
      <c r="B397" s="4">
        <f>IF(B396=CONFIG!$G$6,CONFIG!$G$5,CONFIG!$G$6)</f>
        <v/>
      </c>
      <c r="C397" s="4" t="n"/>
      <c r="D397" s="4" t="n"/>
      <c r="E397" s="9" t="n"/>
      <c r="F397" s="9" t="n"/>
      <c r="G397" s="9" t="n"/>
      <c r="H397" s="9">
        <f>IF(OR(E397&gt;0,F397&gt;0,G397&gt;0),SUM(E397:G397),"")</f>
        <v/>
      </c>
      <c r="I397" s="4" t="n"/>
      <c r="J397" s="4" t="n"/>
    </row>
    <row r="398">
      <c r="A398" s="12">
        <f>IF(B398=CONFIG!$G$5,A397+1,A397)</f>
        <v/>
      </c>
      <c r="B398" s="4">
        <f>IF(B397=CONFIG!$G$6,CONFIG!$G$5,CONFIG!$G$6)</f>
        <v/>
      </c>
      <c r="C398" s="4" t="n"/>
      <c r="D398" s="4" t="n"/>
      <c r="E398" s="9" t="n"/>
      <c r="F398" s="9" t="n"/>
      <c r="G398" s="9" t="n"/>
      <c r="H398" s="9">
        <f>IF(OR(E398&gt;0,F398&gt;0,G398&gt;0),SUM(E398:G398),"")</f>
        <v/>
      </c>
      <c r="I398" s="4" t="n"/>
      <c r="J398" s="4" t="n"/>
    </row>
    <row r="399">
      <c r="A399" s="12">
        <f>IF(B399=CONFIG!$G$5,A398+1,A398)</f>
        <v/>
      </c>
      <c r="B399" s="4">
        <f>IF(B398=CONFIG!$G$6,CONFIG!$G$5,CONFIG!$G$6)</f>
        <v/>
      </c>
      <c r="C399" s="4" t="n"/>
      <c r="D399" s="4" t="n"/>
      <c r="E399" s="9" t="n"/>
      <c r="F399" s="9" t="n"/>
      <c r="G399" s="9" t="n"/>
      <c r="H399" s="9">
        <f>IF(OR(E399&gt;0,F399&gt;0,G399&gt;0),SUM(E399:G399),"")</f>
        <v/>
      </c>
      <c r="I399" s="4" t="n"/>
      <c r="J399" s="4" t="n"/>
    </row>
    <row r="400">
      <c r="A400" s="12">
        <f>IF(B400=CONFIG!$G$5,A399+1,A399)</f>
        <v/>
      </c>
      <c r="B400" s="4">
        <f>IF(B399=CONFIG!$G$6,CONFIG!$G$5,CONFIG!$G$6)</f>
        <v/>
      </c>
      <c r="C400" s="4" t="n"/>
      <c r="D400" s="4" t="n"/>
      <c r="E400" s="9" t="n"/>
      <c r="F400" s="9" t="n"/>
      <c r="G400" s="9" t="n"/>
      <c r="H400" s="9">
        <f>IF(OR(E400&gt;0,F400&gt;0,G400&gt;0),SUM(E400:G400),"")</f>
        <v/>
      </c>
      <c r="I400" s="4" t="n"/>
      <c r="J400" s="4" t="n"/>
    </row>
    <row r="401">
      <c r="A401" s="12">
        <f>IF(B401=CONFIG!$G$5,A400+1,A400)</f>
        <v/>
      </c>
      <c r="B401" s="4">
        <f>IF(B400=CONFIG!$G$6,CONFIG!$G$5,CONFIG!$G$6)</f>
        <v/>
      </c>
      <c r="C401" s="4" t="n"/>
      <c r="D401" s="4" t="n"/>
      <c r="E401" s="9" t="n"/>
      <c r="F401" s="9" t="n"/>
      <c r="G401" s="9" t="n"/>
      <c r="H401" s="9">
        <f>IF(OR(E401&gt;0,F401&gt;0,G401&gt;0),SUM(E401:G401),"")</f>
        <v/>
      </c>
      <c r="I401" s="4" t="n"/>
      <c r="J401" s="4" t="n"/>
    </row>
    <row r="402">
      <c r="A402" s="12">
        <f>IF(B402=CONFIG!$G$5,A401+1,A401)</f>
        <v/>
      </c>
      <c r="B402" s="4">
        <f>IF(B401=CONFIG!$G$6,CONFIG!$G$5,CONFIG!$G$6)</f>
        <v/>
      </c>
      <c r="C402" s="4" t="n"/>
      <c r="D402" s="4" t="n"/>
      <c r="E402" s="9" t="n"/>
      <c r="F402" s="9" t="n"/>
      <c r="G402" s="9" t="n"/>
      <c r="H402" s="9">
        <f>IF(OR(E402&gt;0,F402&gt;0,G402&gt;0),SUM(E402:G402),"")</f>
        <v/>
      </c>
      <c r="I402" s="4" t="n"/>
      <c r="J402" s="4" t="n"/>
    </row>
    <row r="403">
      <c r="A403" s="12">
        <f>IF(B403=CONFIG!$G$5,A402+1,A402)</f>
        <v/>
      </c>
      <c r="B403" s="4">
        <f>IF(B402=CONFIG!$G$6,CONFIG!$G$5,CONFIG!$G$6)</f>
        <v/>
      </c>
      <c r="C403" s="4" t="n"/>
      <c r="D403" s="4" t="n"/>
      <c r="E403" s="9" t="n"/>
      <c r="F403" s="9" t="n"/>
      <c r="G403" s="9" t="n"/>
      <c r="H403" s="9">
        <f>IF(OR(E403&gt;0,F403&gt;0,G403&gt;0),SUM(E403:G403),"")</f>
        <v/>
      </c>
      <c r="I403" s="4" t="n"/>
      <c r="J403" s="4" t="n"/>
    </row>
    <row r="404">
      <c r="A404" s="12">
        <f>IF(B404=CONFIG!$G$5,A403+1,A403)</f>
        <v/>
      </c>
      <c r="B404" s="4">
        <f>IF(B403=CONFIG!$G$6,CONFIG!$G$5,CONFIG!$G$6)</f>
        <v/>
      </c>
      <c r="C404" s="4" t="n"/>
      <c r="D404" s="4" t="n"/>
      <c r="E404" s="9" t="n"/>
      <c r="F404" s="9" t="n"/>
      <c r="G404" s="9" t="n"/>
      <c r="H404" s="9">
        <f>IF(OR(E404&gt;0,F404&gt;0,G404&gt;0),SUM(E404:G404),"")</f>
        <v/>
      </c>
      <c r="I404" s="4" t="n"/>
      <c r="J404" s="4" t="n"/>
    </row>
    <row r="405">
      <c r="A405" s="12">
        <f>IF(B405=CONFIG!$G$5,A404+1,A404)</f>
        <v/>
      </c>
      <c r="B405" s="4">
        <f>IF(B404=CONFIG!$G$6,CONFIG!$G$5,CONFIG!$G$6)</f>
        <v/>
      </c>
      <c r="C405" s="4" t="n"/>
      <c r="D405" s="4" t="n"/>
      <c r="E405" s="9" t="n"/>
      <c r="F405" s="9" t="n"/>
      <c r="G405" s="9" t="n"/>
      <c r="H405" s="9">
        <f>IF(OR(E405&gt;0,F405&gt;0,G405&gt;0),SUM(E405:G405),"")</f>
        <v/>
      </c>
      <c r="I405" s="4" t="n"/>
      <c r="J405" s="4" t="n"/>
    </row>
    <row r="406">
      <c r="A406" s="12">
        <f>IF(B406=CONFIG!$G$5,A405+1,A405)</f>
        <v/>
      </c>
      <c r="B406" s="4">
        <f>IF(B405=CONFIG!$G$6,CONFIG!$G$5,CONFIG!$G$6)</f>
        <v/>
      </c>
      <c r="C406" s="4" t="n"/>
      <c r="D406" s="4" t="n"/>
      <c r="E406" s="9" t="n"/>
      <c r="F406" s="9" t="n"/>
      <c r="G406" s="9" t="n"/>
      <c r="H406" s="9">
        <f>IF(OR(E406&gt;0,F406&gt;0,G406&gt;0),SUM(E406:G406),"")</f>
        <v/>
      </c>
      <c r="I406" s="4" t="n"/>
      <c r="J406" s="4" t="n"/>
    </row>
    <row r="407">
      <c r="A407" s="12">
        <f>IF(B407=CONFIG!$G$5,A406+1,A406)</f>
        <v/>
      </c>
      <c r="B407" s="4">
        <f>IF(B406=CONFIG!$G$6,CONFIG!$G$5,CONFIG!$G$6)</f>
        <v/>
      </c>
      <c r="C407" s="4" t="n"/>
      <c r="D407" s="4" t="n"/>
      <c r="E407" s="9" t="n"/>
      <c r="F407" s="9" t="n"/>
      <c r="G407" s="9" t="n"/>
      <c r="H407" s="9">
        <f>IF(OR(E407&gt;0,F407&gt;0,G407&gt;0),SUM(E407:G407),"")</f>
        <v/>
      </c>
      <c r="I407" s="4" t="n"/>
      <c r="J407" s="4" t="n"/>
    </row>
    <row r="408">
      <c r="A408" s="12">
        <f>IF(B408=CONFIG!$G$5,A407+1,A407)</f>
        <v/>
      </c>
      <c r="B408" s="4">
        <f>IF(B407=CONFIG!$G$6,CONFIG!$G$5,CONFIG!$G$6)</f>
        <v/>
      </c>
      <c r="C408" s="4" t="n"/>
      <c r="D408" s="4" t="n"/>
      <c r="E408" s="9" t="n"/>
      <c r="F408" s="9" t="n"/>
      <c r="G408" s="9" t="n"/>
      <c r="H408" s="9">
        <f>IF(OR(E408&gt;0,F408&gt;0,G408&gt;0),SUM(E408:G408),"")</f>
        <v/>
      </c>
      <c r="I408" s="4" t="n"/>
      <c r="J408" s="4" t="n"/>
    </row>
    <row r="409">
      <c r="A409" s="12">
        <f>IF(B409=CONFIG!$G$5,A408+1,A408)</f>
        <v/>
      </c>
      <c r="B409" s="4">
        <f>IF(B408=CONFIG!$G$6,CONFIG!$G$5,CONFIG!$G$6)</f>
        <v/>
      </c>
      <c r="C409" s="4" t="n"/>
      <c r="D409" s="4" t="n"/>
      <c r="E409" s="9" t="n"/>
      <c r="F409" s="9" t="n"/>
      <c r="G409" s="9" t="n"/>
      <c r="H409" s="9">
        <f>IF(OR(E409&gt;0,F409&gt;0,G409&gt;0),SUM(E409:G409),"")</f>
        <v/>
      </c>
      <c r="I409" s="4" t="n"/>
      <c r="J409" s="4" t="n"/>
    </row>
    <row r="410">
      <c r="A410" s="12">
        <f>IF(B410=CONFIG!$G$5,A409+1,A409)</f>
        <v/>
      </c>
      <c r="B410" s="4">
        <f>IF(B409=CONFIG!$G$6,CONFIG!$G$5,CONFIG!$G$6)</f>
        <v/>
      </c>
      <c r="C410" s="4" t="n"/>
      <c r="D410" s="4" t="n"/>
      <c r="E410" s="9" t="n"/>
      <c r="F410" s="9" t="n"/>
      <c r="G410" s="9" t="n"/>
      <c r="H410" s="9">
        <f>IF(OR(E410&gt;0,F410&gt;0,G410&gt;0),SUM(E410:G410),"")</f>
        <v/>
      </c>
      <c r="I410" s="4" t="n"/>
      <c r="J410" s="4" t="n"/>
    </row>
    <row r="411">
      <c r="A411" s="12">
        <f>IF(B411=CONFIG!$G$5,A410+1,A410)</f>
        <v/>
      </c>
      <c r="B411" s="4">
        <f>IF(B410=CONFIG!$G$6,CONFIG!$G$5,CONFIG!$G$6)</f>
        <v/>
      </c>
      <c r="C411" s="4" t="n"/>
      <c r="D411" s="4" t="n"/>
      <c r="E411" s="9" t="n"/>
      <c r="F411" s="9" t="n"/>
      <c r="G411" s="9" t="n"/>
      <c r="H411" s="9">
        <f>IF(OR(E411&gt;0,F411&gt;0,G411&gt;0),SUM(E411:G411),"")</f>
        <v/>
      </c>
      <c r="I411" s="4" t="n"/>
      <c r="J411" s="4" t="n"/>
    </row>
    <row r="412">
      <c r="A412" s="12">
        <f>IF(B412=CONFIG!$G$5,A411+1,A411)</f>
        <v/>
      </c>
      <c r="B412" s="4">
        <f>IF(B411=CONFIG!$G$6,CONFIG!$G$5,CONFIG!$G$6)</f>
        <v/>
      </c>
      <c r="C412" s="4" t="n"/>
      <c r="D412" s="4" t="n"/>
      <c r="E412" s="9" t="n"/>
      <c r="F412" s="9" t="n"/>
      <c r="G412" s="9" t="n"/>
      <c r="H412" s="9">
        <f>IF(OR(E412&gt;0,F412&gt;0,G412&gt;0),SUM(E412:G412),"")</f>
        <v/>
      </c>
      <c r="I412" s="4" t="n"/>
      <c r="J412" s="4" t="n"/>
    </row>
    <row r="413">
      <c r="A413" s="12">
        <f>IF(B413=CONFIG!$G$5,A412+1,A412)</f>
        <v/>
      </c>
      <c r="B413" s="4">
        <f>IF(B412=CONFIG!$G$6,CONFIG!$G$5,CONFIG!$G$6)</f>
        <v/>
      </c>
      <c r="C413" s="4" t="n"/>
      <c r="D413" s="4" t="n"/>
      <c r="E413" s="9" t="n"/>
      <c r="F413" s="9" t="n"/>
      <c r="G413" s="9" t="n"/>
      <c r="H413" s="9">
        <f>IF(OR(E413&gt;0,F413&gt;0,G413&gt;0),SUM(E413:G413),"")</f>
        <v/>
      </c>
      <c r="I413" s="4" t="n"/>
      <c r="J413" s="4" t="n"/>
    </row>
    <row r="414">
      <c r="A414" s="12">
        <f>IF(B414=CONFIG!$G$5,A413+1,A413)</f>
        <v/>
      </c>
      <c r="B414" s="4">
        <f>IF(B413=CONFIG!$G$6,CONFIG!$G$5,CONFIG!$G$6)</f>
        <v/>
      </c>
      <c r="C414" s="4" t="n"/>
      <c r="D414" s="4" t="n"/>
      <c r="E414" s="9" t="n"/>
      <c r="F414" s="9" t="n"/>
      <c r="G414" s="9" t="n"/>
      <c r="H414" s="9">
        <f>IF(OR(E414&gt;0,F414&gt;0,G414&gt;0),SUM(E414:G414),"")</f>
        <v/>
      </c>
      <c r="I414" s="4" t="n"/>
      <c r="J414" s="4" t="n"/>
    </row>
    <row r="415">
      <c r="A415" s="12">
        <f>IF(B415=CONFIG!$G$5,A414+1,A414)</f>
        <v/>
      </c>
      <c r="B415" s="4">
        <f>IF(B414=CONFIG!$G$6,CONFIG!$G$5,CONFIG!$G$6)</f>
        <v/>
      </c>
      <c r="C415" s="4" t="n"/>
      <c r="D415" s="4" t="n"/>
      <c r="E415" s="9" t="n"/>
      <c r="F415" s="9" t="n"/>
      <c r="G415" s="9" t="n"/>
      <c r="H415" s="9">
        <f>IF(OR(E415&gt;0,F415&gt;0,G415&gt;0),SUM(E415:G415),"")</f>
        <v/>
      </c>
      <c r="I415" s="4" t="n"/>
      <c r="J415" s="4" t="n"/>
    </row>
    <row r="416">
      <c r="A416" s="12">
        <f>IF(B416=CONFIG!$G$5,A415+1,A415)</f>
        <v/>
      </c>
      <c r="B416" s="4">
        <f>IF(B415=CONFIG!$G$6,CONFIG!$G$5,CONFIG!$G$6)</f>
        <v/>
      </c>
      <c r="C416" s="4" t="n"/>
      <c r="D416" s="4" t="n"/>
      <c r="E416" s="9" t="n"/>
      <c r="F416" s="9" t="n"/>
      <c r="G416" s="9" t="n"/>
      <c r="H416" s="9">
        <f>IF(OR(E416&gt;0,F416&gt;0,G416&gt;0),SUM(E416:G416),"")</f>
        <v/>
      </c>
      <c r="I416" s="4" t="n"/>
      <c r="J416" s="4" t="n"/>
    </row>
    <row r="417">
      <c r="A417" s="12">
        <f>IF(B417=CONFIG!$G$5,A416+1,A416)</f>
        <v/>
      </c>
      <c r="B417" s="4">
        <f>IF(B416=CONFIG!$G$6,CONFIG!$G$5,CONFIG!$G$6)</f>
        <v/>
      </c>
      <c r="C417" s="4" t="n"/>
      <c r="D417" s="4" t="n"/>
      <c r="E417" s="9" t="n"/>
      <c r="F417" s="9" t="n"/>
      <c r="G417" s="9" t="n"/>
      <c r="H417" s="9">
        <f>IF(OR(E417&gt;0,F417&gt;0,G417&gt;0),SUM(E417:G417),"")</f>
        <v/>
      </c>
      <c r="I417" s="4" t="n"/>
      <c r="J417" s="4" t="n"/>
    </row>
    <row r="418">
      <c r="A418" s="12">
        <f>IF(B418=CONFIG!$G$5,A417+1,A417)</f>
        <v/>
      </c>
      <c r="B418" s="4">
        <f>IF(B417=CONFIG!$G$6,CONFIG!$G$5,CONFIG!$G$6)</f>
        <v/>
      </c>
      <c r="C418" s="4" t="n"/>
      <c r="D418" s="4" t="n"/>
      <c r="E418" s="9" t="n"/>
      <c r="F418" s="9" t="n"/>
      <c r="G418" s="9" t="n"/>
      <c r="H418" s="9">
        <f>IF(OR(E418&gt;0,F418&gt;0,G418&gt;0),SUM(E418:G418),"")</f>
        <v/>
      </c>
      <c r="I418" s="4" t="n"/>
      <c r="J418" s="4" t="n"/>
    </row>
    <row r="419">
      <c r="A419" s="12">
        <f>IF(B419=CONFIG!$G$5,A418+1,A418)</f>
        <v/>
      </c>
      <c r="B419" s="4">
        <f>IF(B418=CONFIG!$G$6,CONFIG!$G$5,CONFIG!$G$6)</f>
        <v/>
      </c>
      <c r="C419" s="4" t="n"/>
      <c r="D419" s="4" t="n"/>
      <c r="E419" s="9" t="n"/>
      <c r="F419" s="9" t="n"/>
      <c r="G419" s="9" t="n"/>
      <c r="H419" s="9">
        <f>IF(OR(E419&gt;0,F419&gt;0,G419&gt;0),SUM(E419:G419),"")</f>
        <v/>
      </c>
      <c r="I419" s="4" t="n"/>
      <c r="J419" s="4" t="n"/>
    </row>
    <row r="420">
      <c r="A420" s="12">
        <f>IF(B420=CONFIG!$G$5,A419+1,A419)</f>
        <v/>
      </c>
      <c r="B420" s="4">
        <f>IF(B419=CONFIG!$G$6,CONFIG!$G$5,CONFIG!$G$6)</f>
        <v/>
      </c>
      <c r="C420" s="4" t="n"/>
      <c r="D420" s="4" t="n"/>
      <c r="E420" s="9" t="n"/>
      <c r="F420" s="9" t="n"/>
      <c r="G420" s="9" t="n"/>
      <c r="H420" s="9">
        <f>IF(OR(E420&gt;0,F420&gt;0,G420&gt;0),SUM(E420:G420),"")</f>
        <v/>
      </c>
      <c r="I420" s="4" t="n"/>
      <c r="J420" s="4" t="n"/>
    </row>
    <row r="421">
      <c r="A421" s="12">
        <f>IF(B421=CONFIG!$G$5,A420+1,A420)</f>
        <v/>
      </c>
      <c r="B421" s="4">
        <f>IF(B420=CONFIG!$G$6,CONFIG!$G$5,CONFIG!$G$6)</f>
        <v/>
      </c>
      <c r="C421" s="4" t="n"/>
      <c r="D421" s="4" t="n"/>
      <c r="E421" s="9" t="n"/>
      <c r="F421" s="9" t="n"/>
      <c r="G421" s="9" t="n"/>
      <c r="H421" s="9">
        <f>IF(OR(E421&gt;0,F421&gt;0,G421&gt;0),SUM(E421:G421),"")</f>
        <v/>
      </c>
      <c r="I421" s="4" t="n"/>
      <c r="J421" s="4" t="n"/>
    </row>
    <row r="422">
      <c r="A422" s="12">
        <f>IF(B422=CONFIG!$G$5,A421+1,A421)</f>
        <v/>
      </c>
      <c r="B422" s="4">
        <f>IF(B421=CONFIG!$G$6,CONFIG!$G$5,CONFIG!$G$6)</f>
        <v/>
      </c>
      <c r="C422" s="4" t="n"/>
      <c r="D422" s="4" t="n"/>
      <c r="E422" s="9" t="n"/>
      <c r="F422" s="9" t="n"/>
      <c r="G422" s="9" t="n"/>
      <c r="H422" s="9">
        <f>IF(OR(E422&gt;0,F422&gt;0,G422&gt;0),SUM(E422:G422),"")</f>
        <v/>
      </c>
      <c r="I422" s="4" t="n"/>
      <c r="J422" s="4" t="n"/>
    </row>
    <row r="423">
      <c r="A423" s="12">
        <f>IF(B423=CONFIG!$G$5,A422+1,A422)</f>
        <v/>
      </c>
      <c r="B423" s="4">
        <f>IF(B422=CONFIG!$G$6,CONFIG!$G$5,CONFIG!$G$6)</f>
        <v/>
      </c>
      <c r="C423" s="4" t="n"/>
      <c r="D423" s="4" t="n"/>
      <c r="E423" s="9" t="n"/>
      <c r="F423" s="9" t="n"/>
      <c r="G423" s="9" t="n"/>
      <c r="H423" s="9">
        <f>IF(OR(E423&gt;0,F423&gt;0,G423&gt;0),SUM(E423:G423),"")</f>
        <v/>
      </c>
      <c r="I423" s="4" t="n"/>
      <c r="J423" s="4" t="n"/>
    </row>
    <row r="424">
      <c r="A424" s="12">
        <f>IF(B424=CONFIG!$G$5,A423+1,A423)</f>
        <v/>
      </c>
      <c r="B424" s="4">
        <f>IF(B423=CONFIG!$G$6,CONFIG!$G$5,CONFIG!$G$6)</f>
        <v/>
      </c>
      <c r="C424" s="4" t="n"/>
      <c r="D424" s="4" t="n"/>
      <c r="E424" s="9" t="n"/>
      <c r="F424" s="9" t="n"/>
      <c r="G424" s="9" t="n"/>
      <c r="H424" s="9">
        <f>IF(OR(E424&gt;0,F424&gt;0,G424&gt;0),SUM(E424:G424),"")</f>
        <v/>
      </c>
      <c r="I424" s="4" t="n"/>
      <c r="J424" s="4" t="n"/>
    </row>
    <row r="425">
      <c r="A425" s="12">
        <f>IF(B425=CONFIG!$G$5,A424+1,A424)</f>
        <v/>
      </c>
      <c r="B425" s="4">
        <f>IF(B424=CONFIG!$G$6,CONFIG!$G$5,CONFIG!$G$6)</f>
        <v/>
      </c>
      <c r="C425" s="4" t="n"/>
      <c r="D425" s="4" t="n"/>
      <c r="E425" s="9" t="n"/>
      <c r="F425" s="9" t="n"/>
      <c r="G425" s="9" t="n"/>
      <c r="H425" s="9">
        <f>IF(OR(E425&gt;0,F425&gt;0,G425&gt;0),SUM(E425:G425),"")</f>
        <v/>
      </c>
      <c r="I425" s="4" t="n"/>
      <c r="J425" s="4" t="n"/>
    </row>
    <row r="426">
      <c r="A426" s="12">
        <f>IF(B426=CONFIG!$G$5,A425+1,A425)</f>
        <v/>
      </c>
      <c r="B426" s="4">
        <f>IF(B425=CONFIG!$G$6,CONFIG!$G$5,CONFIG!$G$6)</f>
        <v/>
      </c>
      <c r="C426" s="4" t="n"/>
      <c r="D426" s="4" t="n"/>
      <c r="E426" s="9" t="n"/>
      <c r="F426" s="9" t="n"/>
      <c r="G426" s="9" t="n"/>
      <c r="H426" s="9">
        <f>IF(OR(E426&gt;0,F426&gt;0,G426&gt;0),SUM(E426:G426),"")</f>
        <v/>
      </c>
      <c r="I426" s="4" t="n"/>
      <c r="J426" s="4" t="n"/>
    </row>
    <row r="427">
      <c r="A427" s="12">
        <f>IF(B427=CONFIG!$G$5,A426+1,A426)</f>
        <v/>
      </c>
      <c r="B427" s="4">
        <f>IF(B426=CONFIG!$G$6,CONFIG!$G$5,CONFIG!$G$6)</f>
        <v/>
      </c>
      <c r="C427" s="4" t="n"/>
      <c r="D427" s="4" t="n"/>
      <c r="E427" s="9" t="n"/>
      <c r="F427" s="9" t="n"/>
      <c r="G427" s="9" t="n"/>
      <c r="H427" s="9">
        <f>IF(OR(E427&gt;0,F427&gt;0,G427&gt;0),SUM(E427:G427),"")</f>
        <v/>
      </c>
      <c r="I427" s="4" t="n"/>
      <c r="J427" s="4" t="n"/>
    </row>
    <row r="428">
      <c r="A428" s="12">
        <f>IF(B428=CONFIG!$G$5,A427+1,A427)</f>
        <v/>
      </c>
      <c r="B428" s="4">
        <f>IF(B427=CONFIG!$G$6,CONFIG!$G$5,CONFIG!$G$6)</f>
        <v/>
      </c>
      <c r="C428" s="4" t="n"/>
      <c r="D428" s="4" t="n"/>
      <c r="E428" s="9" t="n"/>
      <c r="F428" s="9" t="n"/>
      <c r="G428" s="9" t="n"/>
      <c r="H428" s="9">
        <f>IF(OR(E428&gt;0,F428&gt;0,G428&gt;0),SUM(E428:G428),"")</f>
        <v/>
      </c>
      <c r="I428" s="4" t="n"/>
      <c r="J428" s="4" t="n"/>
    </row>
    <row r="429">
      <c r="A429" s="12">
        <f>IF(B429=CONFIG!$G$5,A428+1,A428)</f>
        <v/>
      </c>
      <c r="B429" s="4">
        <f>IF(B428=CONFIG!$G$6,CONFIG!$G$5,CONFIG!$G$6)</f>
        <v/>
      </c>
      <c r="C429" s="4" t="n"/>
      <c r="D429" s="4" t="n"/>
      <c r="E429" s="9" t="n"/>
      <c r="F429" s="9" t="n"/>
      <c r="G429" s="9" t="n"/>
      <c r="H429" s="9">
        <f>IF(OR(E429&gt;0,F429&gt;0,G429&gt;0),SUM(E429:G429),"")</f>
        <v/>
      </c>
      <c r="I429" s="4" t="n"/>
      <c r="J429" s="4" t="n"/>
    </row>
    <row r="430">
      <c r="A430" s="12">
        <f>IF(B430=CONFIG!$G$5,A429+1,A429)</f>
        <v/>
      </c>
      <c r="B430" s="4">
        <f>IF(B429=CONFIG!$G$6,CONFIG!$G$5,CONFIG!$G$6)</f>
        <v/>
      </c>
      <c r="C430" s="4" t="n"/>
      <c r="D430" s="4" t="n"/>
      <c r="E430" s="9" t="n"/>
      <c r="F430" s="9" t="n"/>
      <c r="G430" s="9" t="n"/>
      <c r="H430" s="9">
        <f>IF(OR(E430&gt;0,F430&gt;0,G430&gt;0),SUM(E430:G430),"")</f>
        <v/>
      </c>
      <c r="I430" s="4" t="n"/>
      <c r="J430" s="4" t="n"/>
    </row>
    <row r="431">
      <c r="A431" s="12">
        <f>IF(B431=CONFIG!$G$5,A430+1,A430)</f>
        <v/>
      </c>
      <c r="B431" s="4">
        <f>IF(B430=CONFIG!$G$6,CONFIG!$G$5,CONFIG!$G$6)</f>
        <v/>
      </c>
      <c r="C431" s="4" t="n"/>
      <c r="D431" s="4" t="n"/>
      <c r="E431" s="9" t="n"/>
      <c r="F431" s="9" t="n"/>
      <c r="G431" s="9" t="n"/>
      <c r="H431" s="9">
        <f>IF(OR(E431&gt;0,F431&gt;0,G431&gt;0),SUM(E431:G431),"")</f>
        <v/>
      </c>
      <c r="I431" s="4" t="n"/>
      <c r="J431" s="4" t="n"/>
    </row>
    <row r="432">
      <c r="A432" s="12">
        <f>IF(B432=CONFIG!$G$5,A431+1,A431)</f>
        <v/>
      </c>
      <c r="B432" s="4">
        <f>IF(B431=CONFIG!$G$6,CONFIG!$G$5,CONFIG!$G$6)</f>
        <v/>
      </c>
      <c r="C432" s="4" t="n"/>
      <c r="D432" s="4" t="n"/>
      <c r="E432" s="9" t="n"/>
      <c r="F432" s="9" t="n"/>
      <c r="G432" s="9" t="n"/>
      <c r="H432" s="9">
        <f>IF(OR(E432&gt;0,F432&gt;0,G432&gt;0),SUM(E432:G432),"")</f>
        <v/>
      </c>
      <c r="I432" s="4" t="n"/>
      <c r="J432" s="4" t="n"/>
    </row>
    <row r="433">
      <c r="A433" s="12">
        <f>IF(B433=CONFIG!$G$5,A432+1,A432)</f>
        <v/>
      </c>
      <c r="B433" s="4">
        <f>IF(B432=CONFIG!$G$6,CONFIG!$G$5,CONFIG!$G$6)</f>
        <v/>
      </c>
      <c r="C433" s="4" t="n"/>
      <c r="D433" s="4" t="n"/>
      <c r="E433" s="9" t="n"/>
      <c r="F433" s="9" t="n"/>
      <c r="G433" s="9" t="n"/>
      <c r="H433" s="9">
        <f>IF(OR(E433&gt;0,F433&gt;0,G433&gt;0),SUM(E433:G433),"")</f>
        <v/>
      </c>
      <c r="I433" s="4" t="n"/>
      <c r="J433" s="4" t="n"/>
    </row>
    <row r="434">
      <c r="A434" s="12">
        <f>IF(B434=CONFIG!$G$5,A433+1,A433)</f>
        <v/>
      </c>
      <c r="B434" s="4">
        <f>IF(B433=CONFIG!$G$6,CONFIG!$G$5,CONFIG!$G$6)</f>
        <v/>
      </c>
      <c r="C434" s="4" t="n"/>
      <c r="D434" s="4" t="n"/>
      <c r="E434" s="9" t="n"/>
      <c r="F434" s="9" t="n"/>
      <c r="G434" s="9" t="n"/>
      <c r="H434" s="9">
        <f>IF(OR(E434&gt;0,F434&gt;0,G434&gt;0),SUM(E434:G434),"")</f>
        <v/>
      </c>
      <c r="I434" s="4" t="n"/>
      <c r="J434" s="4" t="n"/>
    </row>
    <row r="435">
      <c r="A435" s="12">
        <f>IF(B435=CONFIG!$G$5,A434+1,A434)</f>
        <v/>
      </c>
      <c r="B435" s="4">
        <f>IF(B434=CONFIG!$G$6,CONFIG!$G$5,CONFIG!$G$6)</f>
        <v/>
      </c>
      <c r="C435" s="4" t="n"/>
      <c r="D435" s="4" t="n"/>
      <c r="E435" s="9" t="n"/>
      <c r="F435" s="9" t="n"/>
      <c r="G435" s="9" t="n"/>
      <c r="H435" s="9">
        <f>IF(OR(E435&gt;0,F435&gt;0,G435&gt;0),SUM(E435:G435),"")</f>
        <v/>
      </c>
      <c r="I435" s="4" t="n"/>
      <c r="J435" s="4" t="n"/>
    </row>
    <row r="436">
      <c r="A436" s="12">
        <f>IF(B436=CONFIG!$G$5,A435+1,A435)</f>
        <v/>
      </c>
      <c r="B436" s="4">
        <f>IF(B435=CONFIG!$G$6,CONFIG!$G$5,CONFIG!$G$6)</f>
        <v/>
      </c>
      <c r="C436" s="4" t="n"/>
      <c r="D436" s="4" t="n"/>
      <c r="E436" s="9" t="n"/>
      <c r="F436" s="9" t="n"/>
      <c r="G436" s="9" t="n"/>
      <c r="H436" s="9">
        <f>IF(OR(E436&gt;0,F436&gt;0,G436&gt;0),SUM(E436:G436),"")</f>
        <v/>
      </c>
      <c r="I436" s="4" t="n"/>
      <c r="J436" s="4" t="n"/>
    </row>
    <row r="437">
      <c r="A437" s="12">
        <f>IF(B437=CONFIG!$G$5,A436+1,A436)</f>
        <v/>
      </c>
      <c r="B437" s="4">
        <f>IF(B436=CONFIG!$G$6,CONFIG!$G$5,CONFIG!$G$6)</f>
        <v/>
      </c>
      <c r="C437" s="4" t="n"/>
      <c r="D437" s="4" t="n"/>
      <c r="E437" s="9" t="n"/>
      <c r="F437" s="9" t="n"/>
      <c r="G437" s="9" t="n"/>
      <c r="H437" s="9">
        <f>IF(OR(E437&gt;0,F437&gt;0,G437&gt;0),SUM(E437:G437),"")</f>
        <v/>
      </c>
      <c r="I437" s="4" t="n"/>
      <c r="J437" s="4" t="n"/>
    </row>
    <row r="438">
      <c r="A438" s="12">
        <f>IF(B438=CONFIG!$G$5,A437+1,A437)</f>
        <v/>
      </c>
      <c r="B438" s="4">
        <f>IF(B437=CONFIG!$G$6,CONFIG!$G$5,CONFIG!$G$6)</f>
        <v/>
      </c>
      <c r="C438" s="4" t="n"/>
      <c r="D438" s="4" t="n"/>
      <c r="E438" s="9" t="n"/>
      <c r="F438" s="9" t="n"/>
      <c r="G438" s="9" t="n"/>
      <c r="H438" s="9">
        <f>IF(OR(E438&gt;0,F438&gt;0,G438&gt;0),SUM(E438:G438),"")</f>
        <v/>
      </c>
      <c r="I438" s="4" t="n"/>
      <c r="J438" s="4" t="n"/>
    </row>
    <row r="439">
      <c r="A439" s="12">
        <f>IF(B439=CONFIG!$G$5,A438+1,A438)</f>
        <v/>
      </c>
      <c r="B439" s="4">
        <f>IF(B438=CONFIG!$G$6,CONFIG!$G$5,CONFIG!$G$6)</f>
        <v/>
      </c>
      <c r="C439" s="4" t="n"/>
      <c r="D439" s="4" t="n"/>
      <c r="E439" s="9" t="n"/>
      <c r="F439" s="9" t="n"/>
      <c r="G439" s="9" t="n"/>
      <c r="H439" s="9">
        <f>IF(OR(E439&gt;0,F439&gt;0,G439&gt;0),SUM(E439:G439),"")</f>
        <v/>
      </c>
      <c r="I439" s="4" t="n"/>
      <c r="J439" s="4" t="n"/>
    </row>
    <row r="440">
      <c r="A440" s="12">
        <f>IF(B440=CONFIG!$G$5,A439+1,A439)</f>
        <v/>
      </c>
      <c r="B440" s="4">
        <f>IF(B439=CONFIG!$G$6,CONFIG!$G$5,CONFIG!$G$6)</f>
        <v/>
      </c>
      <c r="C440" s="4" t="n"/>
      <c r="D440" s="4" t="n"/>
      <c r="E440" s="9" t="n"/>
      <c r="F440" s="9" t="n"/>
      <c r="G440" s="9" t="n"/>
      <c r="H440" s="9">
        <f>IF(OR(E440&gt;0,F440&gt;0,G440&gt;0),SUM(E440:G440),"")</f>
        <v/>
      </c>
      <c r="I440" s="4" t="n"/>
      <c r="J440" s="4" t="n"/>
    </row>
    <row r="441">
      <c r="A441" s="12">
        <f>IF(B441=CONFIG!$G$5,A440+1,A440)</f>
        <v/>
      </c>
      <c r="B441" s="4">
        <f>IF(B440=CONFIG!$G$6,CONFIG!$G$5,CONFIG!$G$6)</f>
        <v/>
      </c>
      <c r="C441" s="4" t="n"/>
      <c r="D441" s="4" t="n"/>
      <c r="E441" s="9" t="n"/>
      <c r="F441" s="9" t="n"/>
      <c r="G441" s="9" t="n"/>
      <c r="H441" s="9">
        <f>IF(OR(E441&gt;0,F441&gt;0,G441&gt;0),SUM(E441:G441),"")</f>
        <v/>
      </c>
      <c r="I441" s="4" t="n"/>
      <c r="J441" s="4" t="n"/>
    </row>
    <row r="442">
      <c r="A442" s="12">
        <f>IF(B442=CONFIG!$G$5,A441+1,A441)</f>
        <v/>
      </c>
      <c r="B442" s="4">
        <f>IF(B441=CONFIG!$G$6,CONFIG!$G$5,CONFIG!$G$6)</f>
        <v/>
      </c>
      <c r="C442" s="4" t="n"/>
      <c r="D442" s="4" t="n"/>
      <c r="E442" s="9" t="n"/>
      <c r="F442" s="9" t="n"/>
      <c r="G442" s="9" t="n"/>
      <c r="H442" s="9">
        <f>IF(OR(E442&gt;0,F442&gt;0,G442&gt;0),SUM(E442:G442),"")</f>
        <v/>
      </c>
      <c r="I442" s="4" t="n"/>
      <c r="J442" s="4" t="n"/>
    </row>
    <row r="443">
      <c r="A443" s="12">
        <f>IF(B443=CONFIG!$G$5,A442+1,A442)</f>
        <v/>
      </c>
      <c r="B443" s="4">
        <f>IF(B442=CONFIG!$G$6,CONFIG!$G$5,CONFIG!$G$6)</f>
        <v/>
      </c>
      <c r="C443" s="4" t="n"/>
      <c r="D443" s="4" t="n"/>
      <c r="E443" s="9" t="n"/>
      <c r="F443" s="9" t="n"/>
      <c r="G443" s="9" t="n"/>
      <c r="H443" s="9">
        <f>IF(OR(E443&gt;0,F443&gt;0,G443&gt;0),SUM(E443:G443),"")</f>
        <v/>
      </c>
      <c r="I443" s="4" t="n"/>
      <c r="J443" s="4" t="n"/>
    </row>
    <row r="444">
      <c r="A444" s="12">
        <f>IF(B444=CONFIG!$G$5,A443+1,A443)</f>
        <v/>
      </c>
      <c r="B444" s="4">
        <f>IF(B443=CONFIG!$G$6,CONFIG!$G$5,CONFIG!$G$6)</f>
        <v/>
      </c>
      <c r="C444" s="4" t="n"/>
      <c r="D444" s="4" t="n"/>
      <c r="E444" s="9" t="n"/>
      <c r="F444" s="9" t="n"/>
      <c r="G444" s="9" t="n"/>
      <c r="H444" s="9">
        <f>IF(OR(E444&gt;0,F444&gt;0,G444&gt;0),SUM(E444:G444),"")</f>
        <v/>
      </c>
      <c r="I444" s="4" t="n"/>
      <c r="J444" s="4" t="n"/>
    </row>
    <row r="445">
      <c r="A445" s="12">
        <f>IF(B445=CONFIG!$G$5,A444+1,A444)</f>
        <v/>
      </c>
      <c r="B445" s="4">
        <f>IF(B444=CONFIG!$G$6,CONFIG!$G$5,CONFIG!$G$6)</f>
        <v/>
      </c>
      <c r="C445" s="4" t="n"/>
      <c r="D445" s="4" t="n"/>
      <c r="E445" s="9" t="n"/>
      <c r="F445" s="9" t="n"/>
      <c r="G445" s="9" t="n"/>
      <c r="H445" s="9">
        <f>IF(OR(E445&gt;0,F445&gt;0,G445&gt;0),SUM(E445:G445),"")</f>
        <v/>
      </c>
      <c r="I445" s="4" t="n"/>
      <c r="J445" s="4" t="n"/>
    </row>
    <row r="446">
      <c r="A446" s="12">
        <f>IF(B446=CONFIG!$G$5,A445+1,A445)</f>
        <v/>
      </c>
      <c r="B446" s="4">
        <f>IF(B445=CONFIG!$G$6,CONFIG!$G$5,CONFIG!$G$6)</f>
        <v/>
      </c>
      <c r="C446" s="4" t="n"/>
      <c r="D446" s="4" t="n"/>
      <c r="E446" s="9" t="n"/>
      <c r="F446" s="9" t="n"/>
      <c r="G446" s="9" t="n"/>
      <c r="H446" s="9">
        <f>IF(OR(E446&gt;0,F446&gt;0,G446&gt;0),SUM(E446:G446),"")</f>
        <v/>
      </c>
      <c r="I446" s="4" t="n"/>
      <c r="J446" s="4" t="n"/>
    </row>
    <row r="447">
      <c r="A447" s="12">
        <f>IF(B447=CONFIG!$G$5,A446+1,A446)</f>
        <v/>
      </c>
      <c r="B447" s="4">
        <f>IF(B446=CONFIG!$G$6,CONFIG!$G$5,CONFIG!$G$6)</f>
        <v/>
      </c>
      <c r="C447" s="4" t="n"/>
      <c r="D447" s="4" t="n"/>
      <c r="E447" s="9" t="n"/>
      <c r="F447" s="9" t="n"/>
      <c r="G447" s="9" t="n"/>
      <c r="H447" s="9">
        <f>IF(OR(E447&gt;0,F447&gt;0,G447&gt;0),SUM(E447:G447),"")</f>
        <v/>
      </c>
      <c r="I447" s="4" t="n"/>
      <c r="J447" s="4" t="n"/>
    </row>
    <row r="448">
      <c r="A448" s="12">
        <f>IF(B448=CONFIG!$G$5,A447+1,A447)</f>
        <v/>
      </c>
      <c r="B448" s="4">
        <f>IF(B447=CONFIG!$G$6,CONFIG!$G$5,CONFIG!$G$6)</f>
        <v/>
      </c>
      <c r="C448" s="4" t="n"/>
      <c r="D448" s="4" t="n"/>
      <c r="E448" s="9" t="n"/>
      <c r="F448" s="9" t="n"/>
      <c r="G448" s="9" t="n"/>
      <c r="H448" s="9">
        <f>IF(OR(E448&gt;0,F448&gt;0,G448&gt;0),SUM(E448:G448),"")</f>
        <v/>
      </c>
      <c r="I448" s="4" t="n"/>
      <c r="J448" s="4" t="n"/>
    </row>
    <row r="449">
      <c r="A449" s="12">
        <f>IF(B449=CONFIG!$G$5,A448+1,A448)</f>
        <v/>
      </c>
      <c r="B449" s="4">
        <f>IF(B448=CONFIG!$G$6,CONFIG!$G$5,CONFIG!$G$6)</f>
        <v/>
      </c>
      <c r="C449" s="4" t="n"/>
      <c r="D449" s="4" t="n"/>
      <c r="E449" s="9" t="n"/>
      <c r="F449" s="9" t="n"/>
      <c r="G449" s="9" t="n"/>
      <c r="H449" s="9">
        <f>IF(OR(E449&gt;0,F449&gt;0,G449&gt;0),SUM(E449:G449),"")</f>
        <v/>
      </c>
      <c r="I449" s="4" t="n"/>
      <c r="J449" s="4" t="n"/>
    </row>
    <row r="450">
      <c r="A450" s="12">
        <f>IF(B450=CONFIG!$G$5,A449+1,A449)</f>
        <v/>
      </c>
      <c r="B450" s="4">
        <f>IF(B449=CONFIG!$G$6,CONFIG!$G$5,CONFIG!$G$6)</f>
        <v/>
      </c>
      <c r="C450" s="4" t="n"/>
      <c r="D450" s="4" t="n"/>
      <c r="E450" s="9" t="n"/>
      <c r="F450" s="9" t="n"/>
      <c r="G450" s="9" t="n"/>
      <c r="H450" s="9">
        <f>IF(OR(E450&gt;0,F450&gt;0,G450&gt;0),SUM(E450:G450),"")</f>
        <v/>
      </c>
      <c r="I450" s="4" t="n"/>
      <c r="J450" s="4" t="n"/>
    </row>
    <row r="451">
      <c r="A451" s="12">
        <f>IF(B451=CONFIG!$G$5,A450+1,A450)</f>
        <v/>
      </c>
      <c r="B451" s="4">
        <f>IF(B450=CONFIG!$G$6,CONFIG!$G$5,CONFIG!$G$6)</f>
        <v/>
      </c>
      <c r="C451" s="4" t="n"/>
      <c r="D451" s="4" t="n"/>
      <c r="E451" s="9" t="n"/>
      <c r="F451" s="9" t="n"/>
      <c r="G451" s="9" t="n"/>
      <c r="H451" s="9">
        <f>IF(OR(E451&gt;0,F451&gt;0,G451&gt;0),SUM(E451:G451),"")</f>
        <v/>
      </c>
      <c r="I451" s="4" t="n"/>
      <c r="J451" s="4" t="n"/>
    </row>
    <row r="452">
      <c r="A452" s="12">
        <f>IF(B452=CONFIG!$G$5,A451+1,A451)</f>
        <v/>
      </c>
      <c r="B452" s="4">
        <f>IF(B451=CONFIG!$G$6,CONFIG!$G$5,CONFIG!$G$6)</f>
        <v/>
      </c>
      <c r="C452" s="4" t="n"/>
      <c r="D452" s="4" t="n"/>
      <c r="E452" s="9" t="n"/>
      <c r="F452" s="9" t="n"/>
      <c r="G452" s="9" t="n"/>
      <c r="H452" s="9">
        <f>IF(OR(E452&gt;0,F452&gt;0,G452&gt;0),SUM(E452:G452),"")</f>
        <v/>
      </c>
      <c r="I452" s="4" t="n"/>
      <c r="J452" s="4" t="n"/>
    </row>
    <row r="453">
      <c r="A453" s="12">
        <f>IF(B453=CONFIG!$G$5,A452+1,A452)</f>
        <v/>
      </c>
      <c r="B453" s="4">
        <f>IF(B452=CONFIG!$G$6,CONFIG!$G$5,CONFIG!$G$6)</f>
        <v/>
      </c>
      <c r="C453" s="4" t="n"/>
      <c r="D453" s="4" t="n"/>
      <c r="E453" s="9" t="n"/>
      <c r="F453" s="9" t="n"/>
      <c r="G453" s="9" t="n"/>
      <c r="H453" s="9">
        <f>IF(OR(E453&gt;0,F453&gt;0,G453&gt;0),SUM(E453:G453),"")</f>
        <v/>
      </c>
      <c r="I453" s="4" t="n"/>
      <c r="J453" s="4" t="n"/>
    </row>
    <row r="454">
      <c r="A454" s="12">
        <f>IF(B454=CONFIG!$G$5,A453+1,A453)</f>
        <v/>
      </c>
      <c r="B454" s="4">
        <f>IF(B453=CONFIG!$G$6,CONFIG!$G$5,CONFIG!$G$6)</f>
        <v/>
      </c>
      <c r="C454" s="4" t="n"/>
      <c r="D454" s="4" t="n"/>
      <c r="E454" s="9" t="n"/>
      <c r="F454" s="9" t="n"/>
      <c r="G454" s="9" t="n"/>
      <c r="H454" s="9">
        <f>IF(OR(E454&gt;0,F454&gt;0,G454&gt;0),SUM(E454:G454),"")</f>
        <v/>
      </c>
      <c r="I454" s="4" t="n"/>
      <c r="J454" s="4" t="n"/>
    </row>
    <row r="455">
      <c r="A455" s="12">
        <f>IF(B455=CONFIG!$G$5,A454+1,A454)</f>
        <v/>
      </c>
      <c r="B455" s="4">
        <f>IF(B454=CONFIG!$G$6,CONFIG!$G$5,CONFIG!$G$6)</f>
        <v/>
      </c>
      <c r="C455" s="4" t="n"/>
      <c r="D455" s="4" t="n"/>
      <c r="E455" s="9" t="n"/>
      <c r="F455" s="9" t="n"/>
      <c r="G455" s="9" t="n"/>
      <c r="H455" s="9">
        <f>IF(OR(E455&gt;0,F455&gt;0,G455&gt;0),SUM(E455:G455),"")</f>
        <v/>
      </c>
      <c r="I455" s="4" t="n"/>
      <c r="J455" s="4" t="n"/>
    </row>
    <row r="456">
      <c r="A456" s="12">
        <f>IF(B456=CONFIG!$G$5,A455+1,A455)</f>
        <v/>
      </c>
      <c r="B456" s="4">
        <f>IF(B455=CONFIG!$G$6,CONFIG!$G$5,CONFIG!$G$6)</f>
        <v/>
      </c>
      <c r="C456" s="4" t="n"/>
      <c r="D456" s="4" t="n"/>
      <c r="E456" s="9" t="n"/>
      <c r="F456" s="9" t="n"/>
      <c r="G456" s="9" t="n"/>
      <c r="H456" s="9">
        <f>IF(OR(E456&gt;0,F456&gt;0,G456&gt;0),SUM(E456:G456),"")</f>
        <v/>
      </c>
      <c r="I456" s="4" t="n"/>
      <c r="J456" s="4" t="n"/>
    </row>
    <row r="457">
      <c r="A457" s="12">
        <f>IF(B457=CONFIG!$G$5,A456+1,A456)</f>
        <v/>
      </c>
      <c r="B457" s="4">
        <f>IF(B456=CONFIG!$G$6,CONFIG!$G$5,CONFIG!$G$6)</f>
        <v/>
      </c>
      <c r="C457" s="4" t="n"/>
      <c r="D457" s="4" t="n"/>
      <c r="E457" s="9" t="n"/>
      <c r="F457" s="9" t="n"/>
      <c r="G457" s="9" t="n"/>
      <c r="H457" s="9">
        <f>IF(OR(E457&gt;0,F457&gt;0,G457&gt;0),SUM(E457:G457),"")</f>
        <v/>
      </c>
      <c r="I457" s="4" t="n"/>
      <c r="J457" s="4" t="n"/>
    </row>
    <row r="458">
      <c r="A458" s="12">
        <f>IF(B458=CONFIG!$G$5,A457+1,A457)</f>
        <v/>
      </c>
      <c r="B458" s="4">
        <f>IF(B457=CONFIG!$G$6,CONFIG!$G$5,CONFIG!$G$6)</f>
        <v/>
      </c>
      <c r="C458" s="4" t="n"/>
      <c r="D458" s="4" t="n"/>
      <c r="E458" s="9" t="n"/>
      <c r="F458" s="9" t="n"/>
      <c r="G458" s="9" t="n"/>
      <c r="H458" s="9">
        <f>IF(OR(E458&gt;0,F458&gt;0,G458&gt;0),SUM(E458:G458),"")</f>
        <v/>
      </c>
      <c r="I458" s="4" t="n"/>
      <c r="J458" s="4" t="n"/>
    </row>
    <row r="459">
      <c r="A459" s="12">
        <f>IF(B459=CONFIG!$G$5,A458+1,A458)</f>
        <v/>
      </c>
      <c r="B459" s="4">
        <f>IF(B458=CONFIG!$G$6,CONFIG!$G$5,CONFIG!$G$6)</f>
        <v/>
      </c>
      <c r="C459" s="4" t="n"/>
      <c r="D459" s="4" t="n"/>
      <c r="E459" s="9" t="n"/>
      <c r="F459" s="9" t="n"/>
      <c r="G459" s="9" t="n"/>
      <c r="H459" s="9">
        <f>IF(OR(E459&gt;0,F459&gt;0,G459&gt;0),SUM(E459:G459),"")</f>
        <v/>
      </c>
      <c r="I459" s="4" t="n"/>
      <c r="J459" s="4" t="n"/>
    </row>
    <row r="460">
      <c r="A460" s="12">
        <f>IF(B460=CONFIG!$G$5,A459+1,A459)</f>
        <v/>
      </c>
      <c r="B460" s="4">
        <f>IF(B459=CONFIG!$G$6,CONFIG!$G$5,CONFIG!$G$6)</f>
        <v/>
      </c>
      <c r="C460" s="4" t="n"/>
      <c r="D460" s="4" t="n"/>
      <c r="E460" s="9" t="n"/>
      <c r="F460" s="9" t="n"/>
      <c r="G460" s="9" t="n"/>
      <c r="H460" s="9">
        <f>IF(OR(E460&gt;0,F460&gt;0,G460&gt;0),SUM(E460:G460),"")</f>
        <v/>
      </c>
      <c r="I460" s="4" t="n"/>
      <c r="J460" s="4" t="n"/>
    </row>
    <row r="461">
      <c r="A461" s="12">
        <f>IF(B461=CONFIG!$G$5,A460+1,A460)</f>
        <v/>
      </c>
      <c r="B461" s="4">
        <f>IF(B460=CONFIG!$G$6,CONFIG!$G$5,CONFIG!$G$6)</f>
        <v/>
      </c>
      <c r="C461" s="4" t="n"/>
      <c r="D461" s="4" t="n"/>
      <c r="E461" s="9" t="n"/>
      <c r="F461" s="9" t="n"/>
      <c r="G461" s="9" t="n"/>
      <c r="H461" s="9">
        <f>IF(OR(E461&gt;0,F461&gt;0,G461&gt;0),SUM(E461:G461),"")</f>
        <v/>
      </c>
      <c r="I461" s="4" t="n"/>
      <c r="J461" s="4" t="n"/>
    </row>
    <row r="462">
      <c r="A462" s="12">
        <f>IF(B462=CONFIG!$G$5,A461+1,A461)</f>
        <v/>
      </c>
      <c r="B462" s="4">
        <f>IF(B461=CONFIG!$G$6,CONFIG!$G$5,CONFIG!$G$6)</f>
        <v/>
      </c>
      <c r="C462" s="4" t="n"/>
      <c r="D462" s="4" t="n"/>
      <c r="E462" s="9" t="n"/>
      <c r="F462" s="9" t="n"/>
      <c r="G462" s="9" t="n"/>
      <c r="H462" s="9">
        <f>IF(OR(E462&gt;0,F462&gt;0,G462&gt;0),SUM(E462:G462),"")</f>
        <v/>
      </c>
      <c r="I462" s="4" t="n"/>
      <c r="J462" s="4" t="n"/>
    </row>
    <row r="463">
      <c r="A463" s="12">
        <f>IF(B463=CONFIG!$G$5,A462+1,A462)</f>
        <v/>
      </c>
      <c r="B463" s="4">
        <f>IF(B462=CONFIG!$G$6,CONFIG!$G$5,CONFIG!$G$6)</f>
        <v/>
      </c>
      <c r="C463" s="4" t="n"/>
      <c r="D463" s="4" t="n"/>
      <c r="E463" s="9" t="n"/>
      <c r="F463" s="9" t="n"/>
      <c r="G463" s="9" t="n"/>
      <c r="H463" s="9">
        <f>IF(OR(E463&gt;0,F463&gt;0,G463&gt;0),SUM(E463:G463),"")</f>
        <v/>
      </c>
      <c r="I463" s="4" t="n"/>
      <c r="J463" s="4" t="n"/>
    </row>
    <row r="464">
      <c r="A464" s="12">
        <f>IF(B464=CONFIG!$G$5,A463+1,A463)</f>
        <v/>
      </c>
      <c r="B464" s="4">
        <f>IF(B463=CONFIG!$G$6,CONFIG!$G$5,CONFIG!$G$6)</f>
        <v/>
      </c>
      <c r="C464" s="4" t="n"/>
      <c r="D464" s="4" t="n"/>
      <c r="E464" s="9" t="n"/>
      <c r="F464" s="9" t="n"/>
      <c r="G464" s="9" t="n"/>
      <c r="H464" s="9">
        <f>IF(OR(E464&gt;0,F464&gt;0,G464&gt;0),SUM(E464:G464),"")</f>
        <v/>
      </c>
      <c r="I464" s="4" t="n"/>
      <c r="J464" s="4" t="n"/>
    </row>
    <row r="465">
      <c r="A465" s="12">
        <f>IF(B465=CONFIG!$G$5,A464+1,A464)</f>
        <v/>
      </c>
      <c r="B465" s="4">
        <f>IF(B464=CONFIG!$G$6,CONFIG!$G$5,CONFIG!$G$6)</f>
        <v/>
      </c>
      <c r="C465" s="4" t="n"/>
      <c r="D465" s="4" t="n"/>
      <c r="E465" s="9" t="n"/>
      <c r="F465" s="9" t="n"/>
      <c r="G465" s="9" t="n"/>
      <c r="H465" s="9">
        <f>IF(OR(E465&gt;0,F465&gt;0,G465&gt;0),SUM(E465:G465),"")</f>
        <v/>
      </c>
      <c r="I465" s="4" t="n"/>
      <c r="J465" s="4" t="n"/>
    </row>
    <row r="466">
      <c r="A466" s="12">
        <f>IF(B466=CONFIG!$G$5,A465+1,A465)</f>
        <v/>
      </c>
      <c r="B466" s="4">
        <f>IF(B465=CONFIG!$G$6,CONFIG!$G$5,CONFIG!$G$6)</f>
        <v/>
      </c>
      <c r="C466" s="4" t="n"/>
      <c r="D466" s="4" t="n"/>
      <c r="E466" s="9" t="n"/>
      <c r="F466" s="9" t="n"/>
      <c r="G466" s="9" t="n"/>
      <c r="H466" s="9">
        <f>IF(OR(E466&gt;0,F466&gt;0,G466&gt;0),SUM(E466:G466),"")</f>
        <v/>
      </c>
      <c r="I466" s="4" t="n"/>
      <c r="J466" s="4" t="n"/>
    </row>
    <row r="467">
      <c r="A467" s="12">
        <f>IF(B467=CONFIG!$G$5,A466+1,A466)</f>
        <v/>
      </c>
      <c r="B467" s="4">
        <f>IF(B466=CONFIG!$G$6,CONFIG!$G$5,CONFIG!$G$6)</f>
        <v/>
      </c>
      <c r="C467" s="4" t="n"/>
      <c r="D467" s="4" t="n"/>
      <c r="E467" s="9" t="n"/>
      <c r="F467" s="9" t="n"/>
      <c r="G467" s="9" t="n"/>
      <c r="H467" s="9">
        <f>IF(OR(E467&gt;0,F467&gt;0,G467&gt;0),SUM(E467:G467),"")</f>
        <v/>
      </c>
      <c r="I467" s="4" t="n"/>
      <c r="J467" s="4" t="n"/>
    </row>
    <row r="468">
      <c r="A468" s="12">
        <f>IF(B468=CONFIG!$G$5,A467+1,A467)</f>
        <v/>
      </c>
      <c r="B468" s="4">
        <f>IF(B467=CONFIG!$G$6,CONFIG!$G$5,CONFIG!$G$6)</f>
        <v/>
      </c>
      <c r="C468" s="4" t="n"/>
      <c r="D468" s="4" t="n"/>
      <c r="E468" s="9" t="n"/>
      <c r="F468" s="9" t="n"/>
      <c r="G468" s="9" t="n"/>
      <c r="H468" s="9">
        <f>IF(OR(E468&gt;0,F468&gt;0,G468&gt;0),SUM(E468:G468),"")</f>
        <v/>
      </c>
      <c r="I468" s="4" t="n"/>
      <c r="J468" s="4" t="n"/>
    </row>
    <row r="469">
      <c r="A469" s="12">
        <f>IF(B469=CONFIG!$G$5,A468+1,A468)</f>
        <v/>
      </c>
      <c r="B469" s="4">
        <f>IF(B468=CONFIG!$G$6,CONFIG!$G$5,CONFIG!$G$6)</f>
        <v/>
      </c>
      <c r="C469" s="4" t="n"/>
      <c r="D469" s="4" t="n"/>
      <c r="E469" s="9" t="n"/>
      <c r="F469" s="9" t="n"/>
      <c r="G469" s="9" t="n"/>
      <c r="H469" s="9">
        <f>IF(OR(E469&gt;0,F469&gt;0,G469&gt;0),SUM(E469:G469),"")</f>
        <v/>
      </c>
      <c r="I469" s="4" t="n"/>
      <c r="J469" s="4" t="n"/>
    </row>
    <row r="470">
      <c r="A470" s="12">
        <f>IF(B470=CONFIG!$G$5,A469+1,A469)</f>
        <v/>
      </c>
      <c r="B470" s="4">
        <f>IF(B469=CONFIG!$G$6,CONFIG!$G$5,CONFIG!$G$6)</f>
        <v/>
      </c>
      <c r="C470" s="4" t="n"/>
      <c r="D470" s="4" t="n"/>
      <c r="E470" s="9" t="n"/>
      <c r="F470" s="9" t="n"/>
      <c r="G470" s="9" t="n"/>
      <c r="H470" s="9">
        <f>IF(OR(E470&gt;0,F470&gt;0,G470&gt;0),SUM(E470:G470),"")</f>
        <v/>
      </c>
      <c r="I470" s="4" t="n"/>
      <c r="J470" s="4" t="n"/>
    </row>
    <row r="471">
      <c r="A471" s="12">
        <f>IF(B471=CONFIG!$G$5,A470+1,A470)</f>
        <v/>
      </c>
      <c r="B471" s="4">
        <f>IF(B470=CONFIG!$G$6,CONFIG!$G$5,CONFIG!$G$6)</f>
        <v/>
      </c>
      <c r="C471" s="4" t="n"/>
      <c r="D471" s="4" t="n"/>
      <c r="E471" s="9" t="n"/>
      <c r="F471" s="9" t="n"/>
      <c r="G471" s="9" t="n"/>
      <c r="H471" s="9">
        <f>IF(OR(E471&gt;0,F471&gt;0,G471&gt;0),SUM(E471:G471),"")</f>
        <v/>
      </c>
      <c r="I471" s="4" t="n"/>
      <c r="J471" s="4" t="n"/>
    </row>
    <row r="472">
      <c r="A472" s="12">
        <f>IF(B472=CONFIG!$G$5,A471+1,A471)</f>
        <v/>
      </c>
      <c r="B472" s="4">
        <f>IF(B471=CONFIG!$G$6,CONFIG!$G$5,CONFIG!$G$6)</f>
        <v/>
      </c>
      <c r="C472" s="4" t="n"/>
      <c r="D472" s="4" t="n"/>
      <c r="E472" s="9" t="n"/>
      <c r="F472" s="9" t="n"/>
      <c r="G472" s="9" t="n"/>
      <c r="H472" s="9">
        <f>IF(OR(E472&gt;0,F472&gt;0,G472&gt;0),SUM(E472:G472),"")</f>
        <v/>
      </c>
      <c r="I472" s="4" t="n"/>
      <c r="J472" s="4" t="n"/>
    </row>
    <row r="473">
      <c r="A473" s="12">
        <f>IF(B473=CONFIG!$G$5,A472+1,A472)</f>
        <v/>
      </c>
      <c r="B473" s="4">
        <f>IF(B472=CONFIG!$G$6,CONFIG!$G$5,CONFIG!$G$6)</f>
        <v/>
      </c>
      <c r="C473" s="4" t="n"/>
      <c r="D473" s="4" t="n"/>
      <c r="E473" s="9" t="n"/>
      <c r="F473" s="9" t="n"/>
      <c r="G473" s="9" t="n"/>
      <c r="H473" s="9">
        <f>IF(OR(E473&gt;0,F473&gt;0,G473&gt;0),SUM(E473:G473),"")</f>
        <v/>
      </c>
      <c r="I473" s="4" t="n"/>
      <c r="J473" s="4" t="n"/>
    </row>
    <row r="474">
      <c r="A474" s="12">
        <f>IF(B474=CONFIG!$G$5,A473+1,A473)</f>
        <v/>
      </c>
      <c r="B474" s="4">
        <f>IF(B473=CONFIG!$G$6,CONFIG!$G$5,CONFIG!$G$6)</f>
        <v/>
      </c>
      <c r="C474" s="4" t="n"/>
      <c r="D474" s="4" t="n"/>
      <c r="E474" s="9" t="n"/>
      <c r="F474" s="9" t="n"/>
      <c r="G474" s="9" t="n"/>
      <c r="H474" s="9">
        <f>IF(OR(E474&gt;0,F474&gt;0,G474&gt;0),SUM(E474:G474),"")</f>
        <v/>
      </c>
      <c r="I474" s="4" t="n"/>
      <c r="J474" s="4" t="n"/>
    </row>
    <row r="475">
      <c r="A475" s="12">
        <f>IF(B475=CONFIG!$G$5,A474+1,A474)</f>
        <v/>
      </c>
      <c r="B475" s="4">
        <f>IF(B474=CONFIG!$G$6,CONFIG!$G$5,CONFIG!$G$6)</f>
        <v/>
      </c>
      <c r="C475" s="4" t="n"/>
      <c r="D475" s="4" t="n"/>
      <c r="E475" s="9" t="n"/>
      <c r="F475" s="9" t="n"/>
      <c r="G475" s="9" t="n"/>
      <c r="H475" s="9">
        <f>IF(OR(E475&gt;0,F475&gt;0,G475&gt;0),SUM(E475:G475),"")</f>
        <v/>
      </c>
      <c r="I475" s="4" t="n"/>
      <c r="J475" s="4" t="n"/>
    </row>
    <row r="476">
      <c r="A476" s="12">
        <f>IF(B476=CONFIG!$G$5,A475+1,A475)</f>
        <v/>
      </c>
      <c r="B476" s="4">
        <f>IF(B475=CONFIG!$G$6,CONFIG!$G$5,CONFIG!$G$6)</f>
        <v/>
      </c>
      <c r="C476" s="4" t="n"/>
      <c r="D476" s="4" t="n"/>
      <c r="E476" s="9" t="n"/>
      <c r="F476" s="9" t="n"/>
      <c r="G476" s="9" t="n"/>
      <c r="H476" s="9">
        <f>IF(OR(E476&gt;0,F476&gt;0,G476&gt;0),SUM(E476:G476),"")</f>
        <v/>
      </c>
      <c r="I476" s="4" t="n"/>
      <c r="J476" s="4" t="n"/>
    </row>
    <row r="477">
      <c r="A477" s="12">
        <f>IF(B477=CONFIG!$G$5,A476+1,A476)</f>
        <v/>
      </c>
      <c r="B477" s="4">
        <f>IF(B476=CONFIG!$G$6,CONFIG!$G$5,CONFIG!$G$6)</f>
        <v/>
      </c>
      <c r="C477" s="4" t="n"/>
      <c r="D477" s="4" t="n"/>
      <c r="E477" s="9" t="n"/>
      <c r="F477" s="9" t="n"/>
      <c r="G477" s="9" t="n"/>
      <c r="H477" s="9">
        <f>IF(OR(E477&gt;0,F477&gt;0,G477&gt;0),SUM(E477:G477),"")</f>
        <v/>
      </c>
      <c r="I477" s="4" t="n"/>
      <c r="J477" s="4" t="n"/>
    </row>
    <row r="478">
      <c r="A478" s="12">
        <f>IF(B478=CONFIG!$G$5,A477+1,A477)</f>
        <v/>
      </c>
      <c r="B478" s="4">
        <f>IF(B477=CONFIG!$G$6,CONFIG!$G$5,CONFIG!$G$6)</f>
        <v/>
      </c>
      <c r="C478" s="4" t="n"/>
      <c r="D478" s="4" t="n"/>
      <c r="E478" s="9" t="n"/>
      <c r="F478" s="9" t="n"/>
      <c r="G478" s="9" t="n"/>
      <c r="H478" s="9">
        <f>IF(OR(E478&gt;0,F478&gt;0,G478&gt;0),SUM(E478:G478),"")</f>
        <v/>
      </c>
      <c r="I478" s="4" t="n"/>
      <c r="J478" s="4" t="n"/>
    </row>
    <row r="479">
      <c r="A479" s="12">
        <f>IF(B479=CONFIG!$G$5,A478+1,A478)</f>
        <v/>
      </c>
      <c r="B479" s="4">
        <f>IF(B478=CONFIG!$G$6,CONFIG!$G$5,CONFIG!$G$6)</f>
        <v/>
      </c>
      <c r="C479" s="4" t="n"/>
      <c r="D479" s="4" t="n"/>
      <c r="E479" s="9" t="n"/>
      <c r="F479" s="9" t="n"/>
      <c r="G479" s="9" t="n"/>
      <c r="H479" s="9">
        <f>IF(OR(E479&gt;0,F479&gt;0,G479&gt;0),SUM(E479:G479),"")</f>
        <v/>
      </c>
      <c r="I479" s="4" t="n"/>
      <c r="J479" s="4" t="n"/>
    </row>
    <row r="480">
      <c r="A480" s="12">
        <f>IF(B480=CONFIG!$G$5,A479+1,A479)</f>
        <v/>
      </c>
      <c r="B480" s="4">
        <f>IF(B479=CONFIG!$G$6,CONFIG!$G$5,CONFIG!$G$6)</f>
        <v/>
      </c>
      <c r="C480" s="4" t="n"/>
      <c r="D480" s="4" t="n"/>
      <c r="E480" s="9" t="n"/>
      <c r="F480" s="9" t="n"/>
      <c r="G480" s="9" t="n"/>
      <c r="H480" s="9">
        <f>IF(OR(E480&gt;0,F480&gt;0,G480&gt;0),SUM(E480:G480),"")</f>
        <v/>
      </c>
      <c r="I480" s="4" t="n"/>
      <c r="J480" s="4" t="n"/>
    </row>
    <row r="481">
      <c r="A481" s="12">
        <f>IF(B481=CONFIG!$G$5,A480+1,A480)</f>
        <v/>
      </c>
      <c r="B481" s="4">
        <f>IF(B480=CONFIG!$G$6,CONFIG!$G$5,CONFIG!$G$6)</f>
        <v/>
      </c>
      <c r="C481" s="4" t="n"/>
      <c r="D481" s="4" t="n"/>
      <c r="E481" s="9" t="n"/>
      <c r="F481" s="9" t="n"/>
      <c r="G481" s="9" t="n"/>
      <c r="H481" s="9">
        <f>IF(OR(E481&gt;0,F481&gt;0,G481&gt;0),SUM(E481:G481),"")</f>
        <v/>
      </c>
      <c r="I481" s="4" t="n"/>
      <c r="J481" s="4" t="n"/>
    </row>
    <row r="482">
      <c r="A482" s="12">
        <f>IF(B482=CONFIG!$G$5,A481+1,A481)</f>
        <v/>
      </c>
      <c r="B482" s="4">
        <f>IF(B481=CONFIG!$G$6,CONFIG!$G$5,CONFIG!$G$6)</f>
        <v/>
      </c>
      <c r="C482" s="4" t="n"/>
      <c r="D482" s="4" t="n"/>
      <c r="E482" s="9" t="n"/>
      <c r="F482" s="9" t="n"/>
      <c r="G482" s="9" t="n"/>
      <c r="H482" s="9">
        <f>IF(OR(E482&gt;0,F482&gt;0,G482&gt;0),SUM(E482:G482),"")</f>
        <v/>
      </c>
      <c r="I482" s="4" t="n"/>
      <c r="J482" s="4" t="n"/>
    </row>
    <row r="483">
      <c r="A483" s="12">
        <f>IF(B483=CONFIG!$G$5,A482+1,A482)</f>
        <v/>
      </c>
      <c r="B483" s="4">
        <f>IF(B482=CONFIG!$G$6,CONFIG!$G$5,CONFIG!$G$6)</f>
        <v/>
      </c>
      <c r="C483" s="4" t="n"/>
      <c r="D483" s="4" t="n"/>
      <c r="E483" s="9" t="n"/>
      <c r="F483" s="9" t="n"/>
      <c r="G483" s="9" t="n"/>
      <c r="H483" s="9">
        <f>IF(OR(E483&gt;0,F483&gt;0,G483&gt;0),SUM(E483:G483),"")</f>
        <v/>
      </c>
      <c r="I483" s="4" t="n"/>
      <c r="J483" s="4" t="n"/>
    </row>
    <row r="484">
      <c r="A484" s="12">
        <f>IF(B484=CONFIG!$G$5,A483+1,A483)</f>
        <v/>
      </c>
      <c r="B484" s="4">
        <f>IF(B483=CONFIG!$G$6,CONFIG!$G$5,CONFIG!$G$6)</f>
        <v/>
      </c>
      <c r="C484" s="4" t="n"/>
      <c r="D484" s="4" t="n"/>
      <c r="E484" s="9" t="n"/>
      <c r="F484" s="9" t="n"/>
      <c r="G484" s="9" t="n"/>
      <c r="H484" s="9">
        <f>IF(OR(E484&gt;0,F484&gt;0,G484&gt;0),SUM(E484:G484),"")</f>
        <v/>
      </c>
      <c r="I484" s="4" t="n"/>
      <c r="J484" s="4" t="n"/>
    </row>
    <row r="485">
      <c r="A485" s="12">
        <f>IF(B485=CONFIG!$G$5,A484+1,A484)</f>
        <v/>
      </c>
      <c r="B485" s="4">
        <f>IF(B484=CONFIG!$G$6,CONFIG!$G$5,CONFIG!$G$6)</f>
        <v/>
      </c>
      <c r="C485" s="4" t="n"/>
      <c r="D485" s="4" t="n"/>
      <c r="E485" s="9" t="n"/>
      <c r="F485" s="9" t="n"/>
      <c r="G485" s="9" t="n"/>
      <c r="H485" s="9">
        <f>IF(OR(E485&gt;0,F485&gt;0,G485&gt;0),SUM(E485:G485),"")</f>
        <v/>
      </c>
      <c r="I485" s="4" t="n"/>
      <c r="J485" s="4" t="n"/>
    </row>
    <row r="486">
      <c r="A486" s="12">
        <f>IF(B486=CONFIG!$G$5,A485+1,A485)</f>
        <v/>
      </c>
      <c r="B486" s="4">
        <f>IF(B485=CONFIG!$G$6,CONFIG!$G$5,CONFIG!$G$6)</f>
        <v/>
      </c>
      <c r="C486" s="4" t="n"/>
      <c r="D486" s="4" t="n"/>
      <c r="E486" s="9" t="n"/>
      <c r="F486" s="9" t="n"/>
      <c r="G486" s="9" t="n"/>
      <c r="H486" s="9">
        <f>IF(OR(E486&gt;0,F486&gt;0,G486&gt;0),SUM(E486:G486),"")</f>
        <v/>
      </c>
      <c r="I486" s="4" t="n"/>
      <c r="J486" s="4" t="n"/>
    </row>
    <row r="487">
      <c r="A487" s="12">
        <f>IF(B487=CONFIG!$G$5,A486+1,A486)</f>
        <v/>
      </c>
      <c r="B487" s="4">
        <f>IF(B486=CONFIG!$G$6,CONFIG!$G$5,CONFIG!$G$6)</f>
        <v/>
      </c>
      <c r="C487" s="4" t="n"/>
      <c r="D487" s="4" t="n"/>
      <c r="E487" s="9" t="n"/>
      <c r="F487" s="9" t="n"/>
      <c r="G487" s="9" t="n"/>
      <c r="H487" s="9">
        <f>IF(OR(E487&gt;0,F487&gt;0,G487&gt;0),SUM(E487:G487),"")</f>
        <v/>
      </c>
      <c r="I487" s="4" t="n"/>
      <c r="J487" s="4" t="n"/>
    </row>
    <row r="488">
      <c r="A488" s="12">
        <f>IF(B488=CONFIG!$G$5,A487+1,A487)</f>
        <v/>
      </c>
      <c r="B488" s="4">
        <f>IF(B487=CONFIG!$G$6,CONFIG!$G$5,CONFIG!$G$6)</f>
        <v/>
      </c>
      <c r="C488" s="4" t="n"/>
      <c r="D488" s="4" t="n"/>
      <c r="E488" s="9" t="n"/>
      <c r="F488" s="9" t="n"/>
      <c r="G488" s="9" t="n"/>
      <c r="H488" s="9">
        <f>IF(OR(E488&gt;0,F488&gt;0,G488&gt;0),SUM(E488:G488),"")</f>
        <v/>
      </c>
      <c r="I488" s="4" t="n"/>
      <c r="J488" s="4" t="n"/>
    </row>
    <row r="489">
      <c r="A489" s="12">
        <f>IF(B489=CONFIG!$G$5,A488+1,A488)</f>
        <v/>
      </c>
      <c r="B489" s="4">
        <f>IF(B488=CONFIG!$G$6,CONFIG!$G$5,CONFIG!$G$6)</f>
        <v/>
      </c>
      <c r="C489" s="4" t="n"/>
      <c r="D489" s="4" t="n"/>
      <c r="E489" s="9" t="n"/>
      <c r="F489" s="9" t="n"/>
      <c r="G489" s="9" t="n"/>
      <c r="H489" s="9">
        <f>IF(OR(E489&gt;0,F489&gt;0,G489&gt;0),SUM(E489:G489),"")</f>
        <v/>
      </c>
      <c r="I489" s="4" t="n"/>
      <c r="J489" s="4" t="n"/>
    </row>
    <row r="490">
      <c r="A490" s="12">
        <f>IF(B490=CONFIG!$G$5,A489+1,A489)</f>
        <v/>
      </c>
      <c r="B490" s="4">
        <f>IF(B489=CONFIG!$G$6,CONFIG!$G$5,CONFIG!$G$6)</f>
        <v/>
      </c>
      <c r="C490" s="4" t="n"/>
      <c r="D490" s="4" t="n"/>
      <c r="E490" s="9" t="n"/>
      <c r="F490" s="9" t="n"/>
      <c r="G490" s="9" t="n"/>
      <c r="H490" s="9">
        <f>IF(OR(E490&gt;0,F490&gt;0,G490&gt;0),SUM(E490:G490),"")</f>
        <v/>
      </c>
      <c r="I490" s="4" t="n"/>
      <c r="J490" s="4" t="n"/>
    </row>
    <row r="491">
      <c r="A491" s="12">
        <f>IF(B491=CONFIG!$G$5,A490+1,A490)</f>
        <v/>
      </c>
      <c r="B491" s="4">
        <f>IF(B490=CONFIG!$G$6,CONFIG!$G$5,CONFIG!$G$6)</f>
        <v/>
      </c>
      <c r="C491" s="4" t="n"/>
      <c r="D491" s="4" t="n"/>
      <c r="E491" s="9" t="n"/>
      <c r="F491" s="9" t="n"/>
      <c r="G491" s="9" t="n"/>
      <c r="H491" s="9">
        <f>IF(OR(E491&gt;0,F491&gt;0,G491&gt;0),SUM(E491:G491),"")</f>
        <v/>
      </c>
      <c r="I491" s="4" t="n"/>
      <c r="J491" s="4" t="n"/>
    </row>
    <row r="492">
      <c r="A492" s="12">
        <f>IF(B492=CONFIG!$G$5,A491+1,A491)</f>
        <v/>
      </c>
      <c r="B492" s="4">
        <f>IF(B491=CONFIG!$G$6,CONFIG!$G$5,CONFIG!$G$6)</f>
        <v/>
      </c>
      <c r="C492" s="4" t="n"/>
      <c r="D492" s="4" t="n"/>
      <c r="E492" s="9" t="n"/>
      <c r="F492" s="9" t="n"/>
      <c r="G492" s="9" t="n"/>
      <c r="H492" s="9">
        <f>IF(OR(E492&gt;0,F492&gt;0,G492&gt;0),SUM(E492:G492),"")</f>
        <v/>
      </c>
      <c r="I492" s="4" t="n"/>
      <c r="J492" s="4" t="n"/>
    </row>
    <row r="493">
      <c r="A493" s="12">
        <f>IF(B493=CONFIG!$G$5,A492+1,A492)</f>
        <v/>
      </c>
      <c r="B493" s="4">
        <f>IF(B492=CONFIG!$G$6,CONFIG!$G$5,CONFIG!$G$6)</f>
        <v/>
      </c>
      <c r="C493" s="4" t="n"/>
      <c r="D493" s="4" t="n"/>
      <c r="E493" s="9" t="n"/>
      <c r="F493" s="9" t="n"/>
      <c r="G493" s="9" t="n"/>
      <c r="H493" s="9">
        <f>IF(OR(E493&gt;0,F493&gt;0,G493&gt;0),SUM(E493:G493),"")</f>
        <v/>
      </c>
      <c r="I493" s="4" t="n"/>
      <c r="J493" s="4" t="n"/>
    </row>
    <row r="494">
      <c r="A494" s="12">
        <f>IF(B494=CONFIG!$G$5,A493+1,A493)</f>
        <v/>
      </c>
      <c r="B494" s="4">
        <f>IF(B493=CONFIG!$G$6,CONFIG!$G$5,CONFIG!$G$6)</f>
        <v/>
      </c>
      <c r="C494" s="4" t="n"/>
      <c r="D494" s="4" t="n"/>
      <c r="E494" s="9" t="n"/>
      <c r="F494" s="9" t="n"/>
      <c r="G494" s="9" t="n"/>
      <c r="H494" s="9">
        <f>IF(OR(E494&gt;0,F494&gt;0,G494&gt;0),SUM(E494:G494),"")</f>
        <v/>
      </c>
      <c r="I494" s="4" t="n"/>
      <c r="J494" s="4" t="n"/>
    </row>
    <row r="495">
      <c r="A495" s="12">
        <f>IF(B495=CONFIG!$G$5,A494+1,A494)</f>
        <v/>
      </c>
      <c r="B495" s="4">
        <f>IF(B494=CONFIG!$G$6,CONFIG!$G$5,CONFIG!$G$6)</f>
        <v/>
      </c>
      <c r="C495" s="4" t="n"/>
      <c r="D495" s="4" t="n"/>
      <c r="E495" s="9" t="n"/>
      <c r="F495" s="9" t="n"/>
      <c r="G495" s="9" t="n"/>
      <c r="H495" s="9">
        <f>IF(OR(E495&gt;0,F495&gt;0,G495&gt;0),SUM(E495:G495),"")</f>
        <v/>
      </c>
      <c r="I495" s="4" t="n"/>
      <c r="J495" s="4" t="n"/>
    </row>
    <row r="496">
      <c r="A496" s="12">
        <f>IF(B496=CONFIG!$G$5,A495+1,A495)</f>
        <v/>
      </c>
      <c r="B496" s="4">
        <f>IF(B495=CONFIG!$G$6,CONFIG!$G$5,CONFIG!$G$6)</f>
        <v/>
      </c>
      <c r="C496" s="4" t="n"/>
      <c r="D496" s="4" t="n"/>
      <c r="E496" s="9" t="n"/>
      <c r="F496" s="9" t="n"/>
      <c r="G496" s="9" t="n"/>
      <c r="H496" s="9">
        <f>IF(OR(E496&gt;0,F496&gt;0,G496&gt;0),SUM(E496:G496),"")</f>
        <v/>
      </c>
      <c r="I496" s="4" t="n"/>
      <c r="J496" s="4" t="n"/>
    </row>
    <row r="497">
      <c r="A497" s="12">
        <f>IF(B497=CONFIG!$G$5,A496+1,A496)</f>
        <v/>
      </c>
      <c r="B497" s="4">
        <f>IF(B496=CONFIG!$G$6,CONFIG!$G$5,CONFIG!$G$6)</f>
        <v/>
      </c>
      <c r="C497" s="4" t="n"/>
      <c r="D497" s="4" t="n"/>
      <c r="E497" s="9" t="n"/>
      <c r="F497" s="9" t="n"/>
      <c r="G497" s="9" t="n"/>
      <c r="H497" s="9">
        <f>IF(OR(E497&gt;0,F497&gt;0,G497&gt;0),SUM(E497:G497),"")</f>
        <v/>
      </c>
      <c r="I497" s="4" t="n"/>
      <c r="J497" s="4" t="n"/>
    </row>
    <row r="498">
      <c r="A498" s="12">
        <f>IF(B498=CONFIG!$G$5,A497+1,A497)</f>
        <v/>
      </c>
      <c r="B498" s="4">
        <f>IF(B497=CONFIG!$G$6,CONFIG!$G$5,CONFIG!$G$6)</f>
        <v/>
      </c>
      <c r="C498" s="4" t="n"/>
      <c r="D498" s="4" t="n"/>
      <c r="E498" s="9" t="n"/>
      <c r="F498" s="9" t="n"/>
      <c r="G498" s="9" t="n"/>
      <c r="H498" s="9">
        <f>IF(OR(E498&gt;0,F498&gt;0,G498&gt;0),SUM(E498:G498),"")</f>
        <v/>
      </c>
      <c r="I498" s="4" t="n"/>
      <c r="J498" s="4" t="n"/>
    </row>
    <row r="499">
      <c r="A499" s="12">
        <f>IF(B499=CONFIG!$G$5,A498+1,A498)</f>
        <v/>
      </c>
      <c r="B499" s="4">
        <f>IF(B498=CONFIG!$G$6,CONFIG!$G$5,CONFIG!$G$6)</f>
        <v/>
      </c>
      <c r="C499" s="4" t="n"/>
      <c r="D499" s="4" t="n"/>
      <c r="E499" s="9" t="n"/>
      <c r="F499" s="9" t="n"/>
      <c r="G499" s="9" t="n"/>
      <c r="H499" s="9">
        <f>IF(OR(E499&gt;0,F499&gt;0,G499&gt;0),SUM(E499:G499),"")</f>
        <v/>
      </c>
      <c r="I499" s="4" t="n"/>
      <c r="J499" s="4" t="n"/>
    </row>
    <row r="500">
      <c r="A500" s="12">
        <f>IF(B500=CONFIG!$G$5,A499+1,A499)</f>
        <v/>
      </c>
      <c r="B500" s="4">
        <f>IF(B499=CONFIG!$G$6,CONFIG!$G$5,CONFIG!$G$6)</f>
        <v/>
      </c>
      <c r="C500" s="4" t="n"/>
      <c r="D500" s="4" t="n"/>
      <c r="E500" s="9" t="n"/>
      <c r="F500" s="9" t="n"/>
      <c r="G500" s="9" t="n"/>
      <c r="H500" s="9">
        <f>IF(OR(E500&gt;0,F500&gt;0,G500&gt;0),SUM(E500:G500),"")</f>
        <v/>
      </c>
      <c r="I500" s="4" t="n"/>
      <c r="J500" s="4" t="n"/>
    </row>
    <row r="501">
      <c r="A501" s="12">
        <f>IF(B501=CONFIG!$G$5,A500+1,A500)</f>
        <v/>
      </c>
      <c r="B501" s="4">
        <f>IF(B500=CONFIG!$G$6,CONFIG!$G$5,CONFIG!$G$6)</f>
        <v/>
      </c>
      <c r="C501" s="4" t="n"/>
      <c r="D501" s="4" t="n"/>
      <c r="E501" s="9" t="n"/>
      <c r="F501" s="9" t="n"/>
      <c r="G501" s="9" t="n"/>
      <c r="H501" s="9">
        <f>IF(OR(E501&gt;0,F501&gt;0,G501&gt;0),SUM(E501:G501),"")</f>
        <v/>
      </c>
      <c r="I501" s="4" t="n"/>
      <c r="J501" s="4" t="n"/>
    </row>
  </sheetData>
  <dataValidations count="4">
    <dataValidation sqref="B2:B501" showDropDown="0" showInputMessage="0" showErrorMessage="0" allowBlank="1" prompt="AM, PM ou HS" type="list">
      <formula1>CONFIG!$G$5:$G$7</formula1>
    </dataValidation>
    <dataValidation sqref="C2:C501" showDropDown="0" showInputMessage="0" showErrorMessage="0" allowBlank="1" type="list">
      <formula1>CONFIG!$C$5:$C$34</formula1>
    </dataValidation>
    <dataValidation sqref="D2:D501" showDropDown="0" showInputMessage="0" showErrorMessage="0" allowBlank="1" type="list">
      <formula1>CONFIG!$E$5:$E$24</formula1>
    </dataValidation>
    <dataValidation sqref="I2:I501" showDropDown="0" showInputMessage="0" showErrorMessage="0" allowBlank="1" type="list">
      <formula1>CONFIG!$A$5:$A$24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  <col width="10" customWidth="1" min="6" max="6"/>
  </cols>
  <sheetData>
    <row r="1">
      <c r="A1" s="1" t="inlineStr">
        <is>
          <t>SUIVI PAR RTR</t>
        </is>
      </c>
    </row>
    <row r="2">
      <c r="A2" s="7" t="inlineStr">
        <is>
          <t>RTR</t>
        </is>
      </c>
      <c r="B2" s="7" t="inlineStr">
        <is>
          <t>Prevu (mSv)</t>
        </is>
      </c>
      <c r="C2" s="7" t="inlineStr">
        <is>
          <t>Consomme (mSv)</t>
        </is>
      </c>
      <c r="D2" s="7" t="inlineStr">
        <is>
          <t>Reste (mSv)</t>
        </is>
      </c>
      <c r="E2" s="7" t="inlineStr">
        <is>
          <t>% consomme</t>
        </is>
      </c>
      <c r="F2" s="7" t="inlineStr">
        <is>
          <t>Passages</t>
        </is>
      </c>
    </row>
    <row r="3">
      <c r="A3" s="4">
        <f>IF(CONFIG!C5&lt;&gt;"",CONFIG!C5,"")</f>
        <v/>
      </c>
      <c r="B3" s="9" t="n">
        <v>1.716</v>
      </c>
      <c r="C3" s="9">
        <f>IF(A3="",0,SUMIFS(SAISIE!$H$2:$H$501,SAISIE!$C$2:$C$501,A3))</f>
        <v/>
      </c>
      <c r="D3" s="9">
        <f>IF(OR(A3="",B3=0),"",B3-C3)</f>
        <v/>
      </c>
      <c r="E3" s="10">
        <f>IF(OR(A3="",B3=0),"",C3/B3)</f>
        <v/>
      </c>
      <c r="F3" s="4">
        <f>IF(A3="",0,COUNTIF(SAISIE!$C$2:$C$501,A3))</f>
        <v/>
      </c>
    </row>
    <row r="4">
      <c r="A4" s="4">
        <f>IF(CONFIG!C6&lt;&gt;"",CONFIG!C6,"")</f>
        <v/>
      </c>
      <c r="B4" s="9" t="n"/>
      <c r="C4" s="9">
        <f>IF(A4="",0,SUMIFS(SAISIE!$H$2:$H$501,SAISIE!$C$2:$C$501,A4))</f>
        <v/>
      </c>
      <c r="D4" s="9">
        <f>IF(OR(A4="",B4=0),"",B4-C4)</f>
        <v/>
      </c>
      <c r="E4" s="10">
        <f>IF(OR(A4="",B4=0),"",C4/B4)</f>
        <v/>
      </c>
      <c r="F4" s="4">
        <f>IF(A4="",0,COUNTIF(SAISIE!$C$2:$C$501,A4))</f>
        <v/>
      </c>
    </row>
    <row r="5">
      <c r="A5" s="4">
        <f>IF(CONFIG!C7&lt;&gt;"",CONFIG!C7,"")</f>
        <v/>
      </c>
      <c r="B5" s="9" t="n"/>
      <c r="C5" s="9">
        <f>IF(A5="",0,SUMIFS(SAISIE!$H$2:$H$501,SAISIE!$C$2:$C$501,A5))</f>
        <v/>
      </c>
      <c r="D5" s="9">
        <f>IF(OR(A5="",B5=0),"",B5-C5)</f>
        <v/>
      </c>
      <c r="E5" s="10">
        <f>IF(OR(A5="",B5=0),"",C5/B5)</f>
        <v/>
      </c>
      <c r="F5" s="4">
        <f>IF(A5="",0,COUNTIF(SAISIE!$C$2:$C$501,A5))</f>
        <v/>
      </c>
    </row>
    <row r="6">
      <c r="A6" s="4">
        <f>IF(CONFIG!C8&lt;&gt;"",CONFIG!C8,"")</f>
        <v/>
      </c>
      <c r="B6" s="9" t="n"/>
      <c r="C6" s="9">
        <f>IF(A6="",0,SUMIFS(SAISIE!$H$2:$H$501,SAISIE!$C$2:$C$501,A6))</f>
        <v/>
      </c>
      <c r="D6" s="9">
        <f>IF(OR(A6="",B6=0),"",B6-C6)</f>
        <v/>
      </c>
      <c r="E6" s="10">
        <f>IF(OR(A6="",B6=0),"",C6/B6)</f>
        <v/>
      </c>
      <c r="F6" s="4">
        <f>IF(A6="",0,COUNTIF(SAISIE!$C$2:$C$501,A6))</f>
        <v/>
      </c>
    </row>
    <row r="7">
      <c r="A7" s="4">
        <f>IF(CONFIG!C9&lt;&gt;"",CONFIG!C9,"")</f>
        <v/>
      </c>
      <c r="B7" s="9" t="n"/>
      <c r="C7" s="9">
        <f>IF(A7="",0,SUMIFS(SAISIE!$H$2:$H$501,SAISIE!$C$2:$C$501,A7))</f>
        <v/>
      </c>
      <c r="D7" s="9">
        <f>IF(OR(A7="",B7=0),"",B7-C7)</f>
        <v/>
      </c>
      <c r="E7" s="10">
        <f>IF(OR(A7="",B7=0),"",C7/B7)</f>
        <v/>
      </c>
      <c r="F7" s="4">
        <f>IF(A7="",0,COUNTIF(SAISIE!$C$2:$C$501,A7))</f>
        <v/>
      </c>
    </row>
    <row r="8">
      <c r="A8" s="4">
        <f>IF(CONFIG!C10&lt;&gt;"",CONFIG!C10,"")</f>
        <v/>
      </c>
      <c r="B8" s="9" t="n"/>
      <c r="C8" s="9">
        <f>IF(A8="",0,SUMIFS(SAISIE!$H$2:$H$501,SAISIE!$C$2:$C$501,A8))</f>
        <v/>
      </c>
      <c r="D8" s="9">
        <f>IF(OR(A8="",B8=0),"",B8-C8)</f>
        <v/>
      </c>
      <c r="E8" s="10">
        <f>IF(OR(A8="",B8=0),"",C8/B8)</f>
        <v/>
      </c>
      <c r="F8" s="4">
        <f>IF(A8="",0,COUNTIF(SAISIE!$C$2:$C$501,A8))</f>
        <v/>
      </c>
    </row>
    <row r="9">
      <c r="A9" s="4">
        <f>IF(CONFIG!C11&lt;&gt;"",CONFIG!C11,"")</f>
        <v/>
      </c>
      <c r="B9" s="9" t="n"/>
      <c r="C9" s="9">
        <f>IF(A9="",0,SUMIFS(SAISIE!$H$2:$H$501,SAISIE!$C$2:$C$501,A9))</f>
        <v/>
      </c>
      <c r="D9" s="9">
        <f>IF(OR(A9="",B9=0),"",B9-C9)</f>
        <v/>
      </c>
      <c r="E9" s="10">
        <f>IF(OR(A9="",B9=0),"",C9/B9)</f>
        <v/>
      </c>
      <c r="F9" s="4">
        <f>IF(A9="",0,COUNTIF(SAISIE!$C$2:$C$501,A9))</f>
        <v/>
      </c>
    </row>
    <row r="10">
      <c r="A10" s="4">
        <f>IF(CONFIG!C12&lt;&gt;"",CONFIG!C12,"")</f>
        <v/>
      </c>
      <c r="B10" s="9" t="n"/>
      <c r="C10" s="9">
        <f>IF(A10="",0,SUMIFS(SAISIE!$H$2:$H$501,SAISIE!$C$2:$C$501,A10))</f>
        <v/>
      </c>
      <c r="D10" s="9">
        <f>IF(OR(A10="",B10=0),"",B10-C10)</f>
        <v/>
      </c>
      <c r="E10" s="10">
        <f>IF(OR(A10="",B10=0),"",C10/B10)</f>
        <v/>
      </c>
      <c r="F10" s="4">
        <f>IF(A10="",0,COUNTIF(SAISIE!$C$2:$C$501,A10))</f>
        <v/>
      </c>
    </row>
    <row r="11">
      <c r="A11" s="4">
        <f>IF(CONFIG!C13&lt;&gt;"",CONFIG!C13,"")</f>
        <v/>
      </c>
      <c r="B11" s="9" t="n"/>
      <c r="C11" s="9">
        <f>IF(A11="",0,SUMIFS(SAISIE!$H$2:$H$501,SAISIE!$C$2:$C$501,A11))</f>
        <v/>
      </c>
      <c r="D11" s="9">
        <f>IF(OR(A11="",B11=0),"",B11-C11)</f>
        <v/>
      </c>
      <c r="E11" s="10">
        <f>IF(OR(A11="",B11=0),"",C11/B11)</f>
        <v/>
      </c>
      <c r="F11" s="4">
        <f>IF(A11="",0,COUNTIF(SAISIE!$C$2:$C$501,A11))</f>
        <v/>
      </c>
    </row>
    <row r="12">
      <c r="A12" s="4">
        <f>IF(CONFIG!C14&lt;&gt;"",CONFIG!C14,"")</f>
        <v/>
      </c>
      <c r="B12" s="9" t="n"/>
      <c r="C12" s="9">
        <f>IF(A12="",0,SUMIFS(SAISIE!$H$2:$H$501,SAISIE!$C$2:$C$501,A12))</f>
        <v/>
      </c>
      <c r="D12" s="9">
        <f>IF(OR(A12="",B12=0),"",B12-C12)</f>
        <v/>
      </c>
      <c r="E12" s="10">
        <f>IF(OR(A12="",B12=0),"",C12/B12)</f>
        <v/>
      </c>
      <c r="F12" s="4">
        <f>IF(A12="",0,COUNTIF(SAISIE!$C$2:$C$501,A12))</f>
        <v/>
      </c>
    </row>
    <row r="13">
      <c r="A13" s="4">
        <f>IF(CONFIG!C15&lt;&gt;"",CONFIG!C15,"")</f>
        <v/>
      </c>
      <c r="B13" s="9" t="n"/>
      <c r="C13" s="9">
        <f>IF(A13="",0,SUMIFS(SAISIE!$H$2:$H$501,SAISIE!$C$2:$C$501,A13))</f>
        <v/>
      </c>
      <c r="D13" s="9">
        <f>IF(OR(A13="",B13=0),"",B13-C13)</f>
        <v/>
      </c>
      <c r="E13" s="10">
        <f>IF(OR(A13="",B13=0),"",C13/B13)</f>
        <v/>
      </c>
      <c r="F13" s="4">
        <f>IF(A13="",0,COUNTIF(SAISIE!$C$2:$C$501,A13))</f>
        <v/>
      </c>
    </row>
    <row r="14">
      <c r="A14" s="4">
        <f>IF(CONFIG!C16&lt;&gt;"",CONFIG!C16,"")</f>
        <v/>
      </c>
      <c r="B14" s="9" t="n"/>
      <c r="C14" s="9">
        <f>IF(A14="",0,SUMIFS(SAISIE!$H$2:$H$501,SAISIE!$C$2:$C$501,A14))</f>
        <v/>
      </c>
      <c r="D14" s="9">
        <f>IF(OR(A14="",B14=0),"",B14-C14)</f>
        <v/>
      </c>
      <c r="E14" s="10">
        <f>IF(OR(A14="",B14=0),"",C14/B14)</f>
        <v/>
      </c>
      <c r="F14" s="4">
        <f>IF(A14="",0,COUNTIF(SAISIE!$C$2:$C$501,A14))</f>
        <v/>
      </c>
    </row>
    <row r="15">
      <c r="A15" s="4">
        <f>IF(CONFIG!C17&lt;&gt;"",CONFIG!C17,"")</f>
        <v/>
      </c>
      <c r="B15" s="9" t="n"/>
      <c r="C15" s="9">
        <f>IF(A15="",0,SUMIFS(SAISIE!$H$2:$H$501,SAISIE!$C$2:$C$501,A15))</f>
        <v/>
      </c>
      <c r="D15" s="9">
        <f>IF(OR(A15="",B15=0),"",B15-C15)</f>
        <v/>
      </c>
      <c r="E15" s="10">
        <f>IF(OR(A15="",B15=0),"",C15/B15)</f>
        <v/>
      </c>
      <c r="F15" s="4">
        <f>IF(A15="",0,COUNTIF(SAISIE!$C$2:$C$501,A15))</f>
        <v/>
      </c>
    </row>
    <row r="16">
      <c r="A16" s="4">
        <f>IF(CONFIG!C18&lt;&gt;"",CONFIG!C18,"")</f>
        <v/>
      </c>
      <c r="B16" s="9" t="n"/>
      <c r="C16" s="9">
        <f>IF(A16="",0,SUMIFS(SAISIE!$H$2:$H$501,SAISIE!$C$2:$C$501,A16))</f>
        <v/>
      </c>
      <c r="D16" s="9">
        <f>IF(OR(A16="",B16=0),"",B16-C16)</f>
        <v/>
      </c>
      <c r="E16" s="10">
        <f>IF(OR(A16="",B16=0),"",C16/B16)</f>
        <v/>
      </c>
      <c r="F16" s="4">
        <f>IF(A16="",0,COUNTIF(SAISIE!$C$2:$C$501,A16))</f>
        <v/>
      </c>
    </row>
    <row r="17">
      <c r="A17" s="4">
        <f>IF(CONFIG!C19&lt;&gt;"",CONFIG!C19,"")</f>
        <v/>
      </c>
      <c r="B17" s="9" t="n"/>
      <c r="C17" s="9">
        <f>IF(A17="",0,SUMIFS(SAISIE!$H$2:$H$501,SAISIE!$C$2:$C$501,A17))</f>
        <v/>
      </c>
      <c r="D17" s="9">
        <f>IF(OR(A17="",B17=0),"",B17-C17)</f>
        <v/>
      </c>
      <c r="E17" s="10">
        <f>IF(OR(A17="",B17=0),"",C17/B17)</f>
        <v/>
      </c>
      <c r="F17" s="4">
        <f>IF(A17="",0,COUNTIF(SAISIE!$C$2:$C$501,A17))</f>
        <v/>
      </c>
    </row>
    <row r="18">
      <c r="A18" s="4">
        <f>IF(CONFIG!C20&lt;&gt;"",CONFIG!C20,"")</f>
        <v/>
      </c>
      <c r="B18" s="9" t="n"/>
      <c r="C18" s="9">
        <f>IF(A18="",0,SUMIFS(SAISIE!$H$2:$H$501,SAISIE!$C$2:$C$501,A18))</f>
        <v/>
      </c>
      <c r="D18" s="9">
        <f>IF(OR(A18="",B18=0),"",B18-C18)</f>
        <v/>
      </c>
      <c r="E18" s="10">
        <f>IF(OR(A18="",B18=0),"",C18/B18)</f>
        <v/>
      </c>
      <c r="F18" s="4">
        <f>IF(A18="",0,COUNTIF(SAISIE!$C$2:$C$501,A18))</f>
        <v/>
      </c>
    </row>
    <row r="19">
      <c r="A19" s="4">
        <f>IF(CONFIG!C21&lt;&gt;"",CONFIG!C21,"")</f>
        <v/>
      </c>
      <c r="B19" s="9" t="n"/>
      <c r="C19" s="9">
        <f>IF(A19="",0,SUMIFS(SAISIE!$H$2:$H$501,SAISIE!$C$2:$C$501,A19))</f>
        <v/>
      </c>
      <c r="D19" s="9">
        <f>IF(OR(A19="",B19=0),"",B19-C19)</f>
        <v/>
      </c>
      <c r="E19" s="10">
        <f>IF(OR(A19="",B19=0),"",C19/B19)</f>
        <v/>
      </c>
      <c r="F19" s="4">
        <f>IF(A19="",0,COUNTIF(SAISIE!$C$2:$C$501,A19))</f>
        <v/>
      </c>
    </row>
    <row r="20">
      <c r="A20" s="4">
        <f>IF(CONFIG!C22&lt;&gt;"",CONFIG!C22,"")</f>
        <v/>
      </c>
      <c r="B20" s="9" t="n"/>
      <c r="C20" s="9">
        <f>IF(A20="",0,SUMIFS(SAISIE!$H$2:$H$501,SAISIE!$C$2:$C$501,A20))</f>
        <v/>
      </c>
      <c r="D20" s="9">
        <f>IF(OR(A20="",B20=0),"",B20-C20)</f>
        <v/>
      </c>
      <c r="E20" s="10">
        <f>IF(OR(A20="",B20=0),"",C20/B20)</f>
        <v/>
      </c>
      <c r="F20" s="4">
        <f>IF(A20="",0,COUNTIF(SAISIE!$C$2:$C$501,A20))</f>
        <v/>
      </c>
    </row>
    <row r="21">
      <c r="A21" s="4">
        <f>IF(CONFIG!C23&lt;&gt;"",CONFIG!C23,"")</f>
        <v/>
      </c>
      <c r="B21" s="9" t="n"/>
      <c r="C21" s="9">
        <f>IF(A21="",0,SUMIFS(SAISIE!$H$2:$H$501,SAISIE!$C$2:$C$501,A21))</f>
        <v/>
      </c>
      <c r="D21" s="9">
        <f>IF(OR(A21="",B21=0),"",B21-C21)</f>
        <v/>
      </c>
      <c r="E21" s="10">
        <f>IF(OR(A21="",B21=0),"",C21/B21)</f>
        <v/>
      </c>
      <c r="F21" s="4">
        <f>IF(A21="",0,COUNTIF(SAISIE!$C$2:$C$501,A21))</f>
        <v/>
      </c>
    </row>
    <row r="22">
      <c r="A22" s="4">
        <f>IF(CONFIG!C24&lt;&gt;"",CONFIG!C24,"")</f>
        <v/>
      </c>
      <c r="B22" s="9" t="n"/>
      <c r="C22" s="9">
        <f>IF(A22="",0,SUMIFS(SAISIE!$H$2:$H$501,SAISIE!$C$2:$C$501,A22))</f>
        <v/>
      </c>
      <c r="D22" s="9">
        <f>IF(OR(A22="",B22=0),"",B22-C22)</f>
        <v/>
      </c>
      <c r="E22" s="10">
        <f>IF(OR(A22="",B22=0),"",C22/B22)</f>
        <v/>
      </c>
      <c r="F22" s="4">
        <f>IF(A22="",0,COUNTIF(SAISIE!$C$2:$C$501,A22))</f>
        <v/>
      </c>
    </row>
    <row r="23">
      <c r="A23" s="4">
        <f>IF(CONFIG!C25&lt;&gt;"",CONFIG!C25,"")</f>
        <v/>
      </c>
      <c r="B23" s="9" t="n"/>
      <c r="C23" s="9">
        <f>IF(A23="",0,SUMIFS(SAISIE!$H$2:$H$501,SAISIE!$C$2:$C$501,A23))</f>
        <v/>
      </c>
      <c r="D23" s="9">
        <f>IF(OR(A23="",B23=0),"",B23-C23)</f>
        <v/>
      </c>
      <c r="E23" s="10">
        <f>IF(OR(A23="",B23=0),"",C23/B23)</f>
        <v/>
      </c>
      <c r="F23" s="4">
        <f>IF(A23="",0,COUNTIF(SAISIE!$C$2:$C$501,A23))</f>
        <v/>
      </c>
    </row>
    <row r="24">
      <c r="A24" s="4">
        <f>IF(CONFIG!C26&lt;&gt;"",CONFIG!C26,"")</f>
        <v/>
      </c>
      <c r="B24" s="9" t="n"/>
      <c r="C24" s="9">
        <f>IF(A24="",0,SUMIFS(SAISIE!$H$2:$H$501,SAISIE!$C$2:$C$501,A24))</f>
        <v/>
      </c>
      <c r="D24" s="9">
        <f>IF(OR(A24="",B24=0),"",B24-C24)</f>
        <v/>
      </c>
      <c r="E24" s="10">
        <f>IF(OR(A24="",B24=0),"",C24/B24)</f>
        <v/>
      </c>
      <c r="F24" s="4">
        <f>IF(A24="",0,COUNTIF(SAISIE!$C$2:$C$501,A24))</f>
        <v/>
      </c>
    </row>
    <row r="25">
      <c r="A25" s="4">
        <f>IF(CONFIG!C27&lt;&gt;"",CONFIG!C27,"")</f>
        <v/>
      </c>
      <c r="B25" s="9" t="n"/>
      <c r="C25" s="9">
        <f>IF(A25="",0,SUMIFS(SAISIE!$H$2:$H$501,SAISIE!$C$2:$C$501,A25))</f>
        <v/>
      </c>
      <c r="D25" s="9">
        <f>IF(OR(A25="",B25=0),"",B25-C25)</f>
        <v/>
      </c>
      <c r="E25" s="10">
        <f>IF(OR(A25="",B25=0),"",C25/B25)</f>
        <v/>
      </c>
      <c r="F25" s="4">
        <f>IF(A25="",0,COUNTIF(SAISIE!$C$2:$C$501,A25))</f>
        <v/>
      </c>
    </row>
    <row r="26">
      <c r="A26" s="4">
        <f>IF(CONFIG!C28&lt;&gt;"",CONFIG!C28,"")</f>
        <v/>
      </c>
      <c r="B26" s="9" t="n"/>
      <c r="C26" s="9">
        <f>IF(A26="",0,SUMIFS(SAISIE!$H$2:$H$501,SAISIE!$C$2:$C$501,A26))</f>
        <v/>
      </c>
      <c r="D26" s="9">
        <f>IF(OR(A26="",B26=0),"",B26-C26)</f>
        <v/>
      </c>
      <c r="E26" s="10">
        <f>IF(OR(A26="",B26=0),"",C26/B26)</f>
        <v/>
      </c>
      <c r="F26" s="4">
        <f>IF(A26="",0,COUNTIF(SAISIE!$C$2:$C$501,A26))</f>
        <v/>
      </c>
    </row>
    <row r="27">
      <c r="A27" s="4">
        <f>IF(CONFIG!C29&lt;&gt;"",CONFIG!C29,"")</f>
        <v/>
      </c>
      <c r="B27" s="9" t="n"/>
      <c r="C27" s="9">
        <f>IF(A27="",0,SUMIFS(SAISIE!$H$2:$H$501,SAISIE!$C$2:$C$501,A27))</f>
        <v/>
      </c>
      <c r="D27" s="9">
        <f>IF(OR(A27="",B27=0),"",B27-C27)</f>
        <v/>
      </c>
      <c r="E27" s="10">
        <f>IF(OR(A27="",B27=0),"",C27/B27)</f>
        <v/>
      </c>
      <c r="F27" s="4">
        <f>IF(A27="",0,COUNTIF(SAISIE!$C$2:$C$501,A27))</f>
        <v/>
      </c>
    </row>
    <row r="28">
      <c r="A28" s="4">
        <f>IF(CONFIG!C30&lt;&gt;"",CONFIG!C30,"")</f>
        <v/>
      </c>
      <c r="B28" s="9" t="n"/>
      <c r="C28" s="9">
        <f>IF(A28="",0,SUMIFS(SAISIE!$H$2:$H$501,SAISIE!$C$2:$C$501,A28))</f>
        <v/>
      </c>
      <c r="D28" s="9">
        <f>IF(OR(A28="",B28=0),"",B28-C28)</f>
        <v/>
      </c>
      <c r="E28" s="10">
        <f>IF(OR(A28="",B28=0),"",C28/B28)</f>
        <v/>
      </c>
      <c r="F28" s="4">
        <f>IF(A28="",0,COUNTIF(SAISIE!$C$2:$C$501,A28))</f>
        <v/>
      </c>
    </row>
    <row r="29">
      <c r="A29" s="4">
        <f>IF(CONFIG!C31&lt;&gt;"",CONFIG!C31,"")</f>
        <v/>
      </c>
      <c r="B29" s="9" t="n"/>
      <c r="C29" s="9">
        <f>IF(A29="",0,SUMIFS(SAISIE!$H$2:$H$501,SAISIE!$C$2:$C$501,A29))</f>
        <v/>
      </c>
      <c r="D29" s="9">
        <f>IF(OR(A29="",B29=0),"",B29-C29)</f>
        <v/>
      </c>
      <c r="E29" s="10">
        <f>IF(OR(A29="",B29=0),"",C29/B29)</f>
        <v/>
      </c>
      <c r="F29" s="4">
        <f>IF(A29="",0,COUNTIF(SAISIE!$C$2:$C$501,A29))</f>
        <v/>
      </c>
    </row>
    <row r="30">
      <c r="A30" s="4">
        <f>IF(CONFIG!C32&lt;&gt;"",CONFIG!C32,"")</f>
        <v/>
      </c>
      <c r="B30" s="9" t="n"/>
      <c r="C30" s="9">
        <f>IF(A30="",0,SUMIFS(SAISIE!$H$2:$H$501,SAISIE!$C$2:$C$501,A30))</f>
        <v/>
      </c>
      <c r="D30" s="9">
        <f>IF(OR(A30="",B30=0),"",B30-C30)</f>
        <v/>
      </c>
      <c r="E30" s="10">
        <f>IF(OR(A30="",B30=0),"",C30/B30)</f>
        <v/>
      </c>
      <c r="F30" s="4">
        <f>IF(A30="",0,COUNTIF(SAISIE!$C$2:$C$501,A30))</f>
        <v/>
      </c>
    </row>
    <row r="31">
      <c r="A31" s="4">
        <f>IF(CONFIG!C33&lt;&gt;"",CONFIG!C33,"")</f>
        <v/>
      </c>
      <c r="B31" s="9" t="n"/>
      <c r="C31" s="9">
        <f>IF(A31="",0,SUMIFS(SAISIE!$H$2:$H$501,SAISIE!$C$2:$C$501,A31))</f>
        <v/>
      </c>
      <c r="D31" s="9">
        <f>IF(OR(A31="",B31=0),"",B31-C31)</f>
        <v/>
      </c>
      <c r="E31" s="10">
        <f>IF(OR(A31="",B31=0),"",C31/B31)</f>
        <v/>
      </c>
      <c r="F31" s="4">
        <f>IF(A31="",0,COUNTIF(SAISIE!$C$2:$C$501,A31))</f>
        <v/>
      </c>
    </row>
    <row r="32">
      <c r="A32" s="4">
        <f>IF(CONFIG!C34&lt;&gt;"",CONFIG!C34,"")</f>
        <v/>
      </c>
      <c r="B32" s="9" t="n"/>
      <c r="C32" s="9">
        <f>IF(A32="",0,SUMIFS(SAISIE!$H$2:$H$501,SAISIE!$C$2:$C$501,A32))</f>
        <v/>
      </c>
      <c r="D32" s="9">
        <f>IF(OR(A32="",B32=0),"",B32-C32)</f>
        <v/>
      </c>
      <c r="E32" s="10">
        <f>IF(OR(A32="",B32=0),"",C32/B32)</f>
        <v/>
      </c>
      <c r="F32" s="4">
        <f>IF(A32="",0,COUNTIF(SAISIE!$C$2:$C$501,A32))</f>
        <v/>
      </c>
    </row>
    <row r="33">
      <c r="A33" s="13" t="inlineStr">
        <is>
          <t>TOTAL</t>
        </is>
      </c>
      <c r="B33" s="14">
        <f>SUM(B3:B32)</f>
        <v/>
      </c>
      <c r="C33" s="14">
        <f>SUM(C3:C32)</f>
        <v/>
      </c>
      <c r="D33" s="14">
        <f>IFERROR(B33-C33,"")</f>
        <v/>
      </c>
      <c r="E33" s="15">
        <f>IFERROR(C33/B33,"")</f>
        <v/>
      </c>
      <c r="F33" s="13">
        <f>SUM(F3:F32)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4" customWidth="1" min="4" max="4"/>
    <col width="16" customWidth="1" min="5" max="5"/>
  </cols>
  <sheetData>
    <row r="1">
      <c r="A1" s="1" t="inlineStr">
        <is>
          <t>SUIVI PAR BATIMENT</t>
        </is>
      </c>
    </row>
    <row r="2">
      <c r="A2" s="7" t="inlineStr">
        <is>
          <t>Batiment</t>
        </is>
      </c>
      <c r="B2" s="7" t="inlineStr">
        <is>
          <t>Dose totale (mSv)</t>
        </is>
      </c>
      <c r="C2" s="7" t="inlineStr">
        <is>
          <t>Demi-journees</t>
        </is>
      </c>
      <c r="D2" s="7" t="inlineStr">
        <is>
          <t>Jours-Homme</t>
        </is>
      </c>
      <c r="E2" s="7" t="inlineStr">
        <is>
          <t>Jours Calendrier</t>
        </is>
      </c>
    </row>
    <row r="3">
      <c r="A3" s="4">
        <f>IF(CONFIG!E5&lt;&gt;"",CONFIG!E5,"")</f>
        <v/>
      </c>
      <c r="B3" s="9">
        <f>IF(A3="",0,SUMIFS(SAISIE!$H$2:$H$501,SAISIE!$D$2:$D$501,A3))</f>
        <v/>
      </c>
      <c r="C3" s="4">
        <f>IF(A3="",0,COUNTIF(SAISIE!$D$2:$D$501,A3))</f>
        <v/>
      </c>
      <c r="D3" s="4">
        <f>IFERROR(SUMPRODUCT((SAISIE!$D$2:$D$501=A3)/(COUNTIFS(SAISIE!$D$2:$D$501,A3,SAISIE!$A$2:$A$501,SAISIE!$A$2:$A$501,SAISIE!$I$2:$I$501,SAISIE!$I$2:$I$501)+((SAISIE!$D$2:$D$501&lt;&gt;A3)*1E9))),0)</f>
        <v/>
      </c>
      <c r="E3" s="4">
        <f>IFERROR(SUMPRODUCT((SAISIE!$D$2:$D$501=A3)/(COUNTIFS(SAISIE!$A$2:$A$501,SAISIE!$A$2:$A$501,SAISIE!$D$2:$D$501,A3)+((SAISIE!$D$2:$D$501&lt;&gt;A3)*1E9))),0)</f>
        <v/>
      </c>
    </row>
    <row r="4">
      <c r="A4" s="4">
        <f>IF(CONFIG!E6&lt;&gt;"",CONFIG!E6,"")</f>
        <v/>
      </c>
      <c r="B4" s="9">
        <f>IF(A4="",0,SUMIFS(SAISIE!$H$2:$H$501,SAISIE!$D$2:$D$501,A4))</f>
        <v/>
      </c>
      <c r="C4" s="4">
        <f>IF(A4="",0,COUNTIF(SAISIE!$D$2:$D$501,A4))</f>
        <v/>
      </c>
      <c r="D4" s="4">
        <f>IFERROR(SUMPRODUCT((SAISIE!$D$2:$D$501=A4)/(COUNTIFS(SAISIE!$D$2:$D$501,A4,SAISIE!$A$2:$A$501,SAISIE!$A$2:$A$501,SAISIE!$I$2:$I$501,SAISIE!$I$2:$I$501)+((SAISIE!$D$2:$D$501&lt;&gt;A4)*1E9))),0)</f>
        <v/>
      </c>
      <c r="E4" s="4">
        <f>IFERROR(SUMPRODUCT((SAISIE!$D$2:$D$501=A4)/(COUNTIFS(SAISIE!$A$2:$A$501,SAISIE!$A$2:$A$501,SAISIE!$D$2:$D$501,A4)+((SAISIE!$D$2:$D$501&lt;&gt;A4)*1E9))),0)</f>
        <v/>
      </c>
    </row>
    <row r="5">
      <c r="A5" s="4">
        <f>IF(CONFIG!E7&lt;&gt;"",CONFIG!E7,"")</f>
        <v/>
      </c>
      <c r="B5" s="9">
        <f>IF(A5="",0,SUMIFS(SAISIE!$H$2:$H$501,SAISIE!$D$2:$D$501,A5))</f>
        <v/>
      </c>
      <c r="C5" s="4">
        <f>IF(A5="",0,COUNTIF(SAISIE!$D$2:$D$501,A5))</f>
        <v/>
      </c>
      <c r="D5" s="4">
        <f>IFERROR(SUMPRODUCT((SAISIE!$D$2:$D$501=A5)/(COUNTIFS(SAISIE!$D$2:$D$501,A5,SAISIE!$A$2:$A$501,SAISIE!$A$2:$A$501,SAISIE!$I$2:$I$501,SAISIE!$I$2:$I$501)+((SAISIE!$D$2:$D$501&lt;&gt;A5)*1E9))),0)</f>
        <v/>
      </c>
      <c r="E5" s="4">
        <f>IFERROR(SUMPRODUCT((SAISIE!$D$2:$D$501=A5)/(COUNTIFS(SAISIE!$A$2:$A$501,SAISIE!$A$2:$A$501,SAISIE!$D$2:$D$501,A5)+((SAISIE!$D$2:$D$501&lt;&gt;A5)*1E9))),0)</f>
        <v/>
      </c>
    </row>
    <row r="6">
      <c r="A6" s="4">
        <f>IF(CONFIG!E8&lt;&gt;"",CONFIG!E8,"")</f>
        <v/>
      </c>
      <c r="B6" s="9">
        <f>IF(A6="",0,SUMIFS(SAISIE!$H$2:$H$501,SAISIE!$D$2:$D$501,A6))</f>
        <v/>
      </c>
      <c r="C6" s="4">
        <f>IF(A6="",0,COUNTIF(SAISIE!$D$2:$D$501,A6))</f>
        <v/>
      </c>
      <c r="D6" s="4">
        <f>IFERROR(SUMPRODUCT((SAISIE!$D$2:$D$501=A6)/(COUNTIFS(SAISIE!$D$2:$D$501,A6,SAISIE!$A$2:$A$501,SAISIE!$A$2:$A$501,SAISIE!$I$2:$I$501,SAISIE!$I$2:$I$501)+((SAISIE!$D$2:$D$501&lt;&gt;A6)*1E9))),0)</f>
        <v/>
      </c>
      <c r="E6" s="4">
        <f>IFERROR(SUMPRODUCT((SAISIE!$D$2:$D$501=A6)/(COUNTIFS(SAISIE!$A$2:$A$501,SAISIE!$A$2:$A$501,SAISIE!$D$2:$D$501,A6)+((SAISIE!$D$2:$D$501&lt;&gt;A6)*1E9))),0)</f>
        <v/>
      </c>
    </row>
    <row r="7">
      <c r="A7" s="4">
        <f>IF(CONFIG!E9&lt;&gt;"",CONFIG!E9,"")</f>
        <v/>
      </c>
      <c r="B7" s="9">
        <f>IF(A7="",0,SUMIFS(SAISIE!$H$2:$H$501,SAISIE!$D$2:$D$501,A7))</f>
        <v/>
      </c>
      <c r="C7" s="4">
        <f>IF(A7="",0,COUNTIF(SAISIE!$D$2:$D$501,A7))</f>
        <v/>
      </c>
      <c r="D7" s="4">
        <f>IFERROR(SUMPRODUCT((SAISIE!$D$2:$D$501=A7)/(COUNTIFS(SAISIE!$D$2:$D$501,A7,SAISIE!$A$2:$A$501,SAISIE!$A$2:$A$501,SAISIE!$I$2:$I$501,SAISIE!$I$2:$I$501)+((SAISIE!$D$2:$D$501&lt;&gt;A7)*1E9))),0)</f>
        <v/>
      </c>
      <c r="E7" s="4">
        <f>IFERROR(SUMPRODUCT((SAISIE!$D$2:$D$501=A7)/(COUNTIFS(SAISIE!$A$2:$A$501,SAISIE!$A$2:$A$501,SAISIE!$D$2:$D$501,A7)+((SAISIE!$D$2:$D$501&lt;&gt;A7)*1E9))),0)</f>
        <v/>
      </c>
    </row>
    <row r="8">
      <c r="A8" s="4">
        <f>IF(CONFIG!E10&lt;&gt;"",CONFIG!E10,"")</f>
        <v/>
      </c>
      <c r="B8" s="9">
        <f>IF(A8="",0,SUMIFS(SAISIE!$H$2:$H$501,SAISIE!$D$2:$D$501,A8))</f>
        <v/>
      </c>
      <c r="C8" s="4">
        <f>IF(A8="",0,COUNTIF(SAISIE!$D$2:$D$501,A8))</f>
        <v/>
      </c>
      <c r="D8" s="4">
        <f>IFERROR(SUMPRODUCT((SAISIE!$D$2:$D$501=A8)/(COUNTIFS(SAISIE!$D$2:$D$501,A8,SAISIE!$A$2:$A$501,SAISIE!$A$2:$A$501,SAISIE!$I$2:$I$501,SAISIE!$I$2:$I$501)+((SAISIE!$D$2:$D$501&lt;&gt;A8)*1E9))),0)</f>
        <v/>
      </c>
      <c r="E8" s="4">
        <f>IFERROR(SUMPRODUCT((SAISIE!$D$2:$D$501=A8)/(COUNTIFS(SAISIE!$A$2:$A$501,SAISIE!$A$2:$A$501,SAISIE!$D$2:$D$501,A8)+((SAISIE!$D$2:$D$501&lt;&gt;A8)*1E9))),0)</f>
        <v/>
      </c>
    </row>
    <row r="9">
      <c r="A9" s="4">
        <f>IF(CONFIG!E11&lt;&gt;"",CONFIG!E11,"")</f>
        <v/>
      </c>
      <c r="B9" s="9">
        <f>IF(A9="",0,SUMIFS(SAISIE!$H$2:$H$501,SAISIE!$D$2:$D$501,A9))</f>
        <v/>
      </c>
      <c r="C9" s="4">
        <f>IF(A9="",0,COUNTIF(SAISIE!$D$2:$D$501,A9))</f>
        <v/>
      </c>
      <c r="D9" s="4">
        <f>IFERROR(SUMPRODUCT((SAISIE!$D$2:$D$501=A9)/(COUNTIFS(SAISIE!$D$2:$D$501,A9,SAISIE!$A$2:$A$501,SAISIE!$A$2:$A$501,SAISIE!$I$2:$I$501,SAISIE!$I$2:$I$501)+((SAISIE!$D$2:$D$501&lt;&gt;A9)*1E9))),0)</f>
        <v/>
      </c>
      <c r="E9" s="4">
        <f>IFERROR(SUMPRODUCT((SAISIE!$D$2:$D$501=A9)/(COUNTIFS(SAISIE!$A$2:$A$501,SAISIE!$A$2:$A$501,SAISIE!$D$2:$D$501,A9)+((SAISIE!$D$2:$D$501&lt;&gt;A9)*1E9))),0)</f>
        <v/>
      </c>
    </row>
    <row r="10">
      <c r="A10" s="4">
        <f>IF(CONFIG!E12&lt;&gt;"",CONFIG!E12,"")</f>
        <v/>
      </c>
      <c r="B10" s="9">
        <f>IF(A10="",0,SUMIFS(SAISIE!$H$2:$H$501,SAISIE!$D$2:$D$501,A10))</f>
        <v/>
      </c>
      <c r="C10" s="4">
        <f>IF(A10="",0,COUNTIF(SAISIE!$D$2:$D$501,A10))</f>
        <v/>
      </c>
      <c r="D10" s="4">
        <f>IFERROR(SUMPRODUCT((SAISIE!$D$2:$D$501=A10)/(COUNTIFS(SAISIE!$D$2:$D$501,A10,SAISIE!$A$2:$A$501,SAISIE!$A$2:$A$501,SAISIE!$I$2:$I$501,SAISIE!$I$2:$I$501)+((SAISIE!$D$2:$D$501&lt;&gt;A10)*1E9))),0)</f>
        <v/>
      </c>
      <c r="E10" s="4">
        <f>IFERROR(SUMPRODUCT((SAISIE!$D$2:$D$501=A10)/(COUNTIFS(SAISIE!$A$2:$A$501,SAISIE!$A$2:$A$501,SAISIE!$D$2:$D$501,A10)+((SAISIE!$D$2:$D$501&lt;&gt;A10)*1E9))),0)</f>
        <v/>
      </c>
    </row>
    <row r="11">
      <c r="A11" s="4">
        <f>IF(CONFIG!E13&lt;&gt;"",CONFIG!E13,"")</f>
        <v/>
      </c>
      <c r="B11" s="9">
        <f>IF(A11="",0,SUMIFS(SAISIE!$H$2:$H$501,SAISIE!$D$2:$D$501,A11))</f>
        <v/>
      </c>
      <c r="C11" s="4">
        <f>IF(A11="",0,COUNTIF(SAISIE!$D$2:$D$501,A11))</f>
        <v/>
      </c>
      <c r="D11" s="4">
        <f>IFERROR(SUMPRODUCT((SAISIE!$D$2:$D$501=A11)/(COUNTIFS(SAISIE!$D$2:$D$501,A11,SAISIE!$A$2:$A$501,SAISIE!$A$2:$A$501,SAISIE!$I$2:$I$501,SAISIE!$I$2:$I$501)+((SAISIE!$D$2:$D$501&lt;&gt;A11)*1E9))),0)</f>
        <v/>
      </c>
      <c r="E11" s="4">
        <f>IFERROR(SUMPRODUCT((SAISIE!$D$2:$D$501=A11)/(COUNTIFS(SAISIE!$A$2:$A$501,SAISIE!$A$2:$A$501,SAISIE!$D$2:$D$501,A11)+((SAISIE!$D$2:$D$501&lt;&gt;A11)*1E9))),0)</f>
        <v/>
      </c>
    </row>
    <row r="12">
      <c r="A12" s="4">
        <f>IF(CONFIG!E14&lt;&gt;"",CONFIG!E14,"")</f>
        <v/>
      </c>
      <c r="B12" s="9">
        <f>IF(A12="",0,SUMIFS(SAISIE!$H$2:$H$501,SAISIE!$D$2:$D$501,A12))</f>
        <v/>
      </c>
      <c r="C12" s="4">
        <f>IF(A12="",0,COUNTIF(SAISIE!$D$2:$D$501,A12))</f>
        <v/>
      </c>
      <c r="D12" s="4">
        <f>IFERROR(SUMPRODUCT((SAISIE!$D$2:$D$501=A12)/(COUNTIFS(SAISIE!$D$2:$D$501,A12,SAISIE!$A$2:$A$501,SAISIE!$A$2:$A$501,SAISIE!$I$2:$I$501,SAISIE!$I$2:$I$501)+((SAISIE!$D$2:$D$501&lt;&gt;A12)*1E9))),0)</f>
        <v/>
      </c>
      <c r="E12" s="4">
        <f>IFERROR(SUMPRODUCT((SAISIE!$D$2:$D$501=A12)/(COUNTIFS(SAISIE!$A$2:$A$501,SAISIE!$A$2:$A$501,SAISIE!$D$2:$D$501,A12)+((SAISIE!$D$2:$D$501&lt;&gt;A12)*1E9))),0)</f>
        <v/>
      </c>
    </row>
    <row r="13">
      <c r="A13" s="4">
        <f>IF(CONFIG!E15&lt;&gt;"",CONFIG!E15,"")</f>
        <v/>
      </c>
      <c r="B13" s="9">
        <f>IF(A13="",0,SUMIFS(SAISIE!$H$2:$H$501,SAISIE!$D$2:$D$501,A13))</f>
        <v/>
      </c>
      <c r="C13" s="4">
        <f>IF(A13="",0,COUNTIF(SAISIE!$D$2:$D$501,A13))</f>
        <v/>
      </c>
      <c r="D13" s="4">
        <f>IFERROR(SUMPRODUCT((SAISIE!$D$2:$D$501=A13)/(COUNTIFS(SAISIE!$D$2:$D$501,A13,SAISIE!$A$2:$A$501,SAISIE!$A$2:$A$501,SAISIE!$I$2:$I$501,SAISIE!$I$2:$I$501)+((SAISIE!$D$2:$D$501&lt;&gt;A13)*1E9))),0)</f>
        <v/>
      </c>
      <c r="E13" s="4">
        <f>IFERROR(SUMPRODUCT((SAISIE!$D$2:$D$501=A13)/(COUNTIFS(SAISIE!$A$2:$A$501,SAISIE!$A$2:$A$501,SAISIE!$D$2:$D$501,A13)+((SAISIE!$D$2:$D$501&lt;&gt;A13)*1E9))),0)</f>
        <v/>
      </c>
    </row>
    <row r="14">
      <c r="A14" s="4">
        <f>IF(CONFIG!E16&lt;&gt;"",CONFIG!E16,"")</f>
        <v/>
      </c>
      <c r="B14" s="9">
        <f>IF(A14="",0,SUMIFS(SAISIE!$H$2:$H$501,SAISIE!$D$2:$D$501,A14))</f>
        <v/>
      </c>
      <c r="C14" s="4">
        <f>IF(A14="",0,COUNTIF(SAISIE!$D$2:$D$501,A14))</f>
        <v/>
      </c>
      <c r="D14" s="4">
        <f>IFERROR(SUMPRODUCT((SAISIE!$D$2:$D$501=A14)/(COUNTIFS(SAISIE!$D$2:$D$501,A14,SAISIE!$A$2:$A$501,SAISIE!$A$2:$A$501,SAISIE!$I$2:$I$501,SAISIE!$I$2:$I$501)+((SAISIE!$D$2:$D$501&lt;&gt;A14)*1E9))),0)</f>
        <v/>
      </c>
      <c r="E14" s="4">
        <f>IFERROR(SUMPRODUCT((SAISIE!$D$2:$D$501=A14)/(COUNTIFS(SAISIE!$A$2:$A$501,SAISIE!$A$2:$A$501,SAISIE!$D$2:$D$501,A14)+((SAISIE!$D$2:$D$501&lt;&gt;A14)*1E9))),0)</f>
        <v/>
      </c>
    </row>
    <row r="15">
      <c r="A15" s="4">
        <f>IF(CONFIG!E17&lt;&gt;"",CONFIG!E17,"")</f>
        <v/>
      </c>
      <c r="B15" s="9">
        <f>IF(A15="",0,SUMIFS(SAISIE!$H$2:$H$501,SAISIE!$D$2:$D$501,A15))</f>
        <v/>
      </c>
      <c r="C15" s="4">
        <f>IF(A15="",0,COUNTIF(SAISIE!$D$2:$D$501,A15))</f>
        <v/>
      </c>
      <c r="D15" s="4">
        <f>IFERROR(SUMPRODUCT((SAISIE!$D$2:$D$501=A15)/(COUNTIFS(SAISIE!$D$2:$D$501,A15,SAISIE!$A$2:$A$501,SAISIE!$A$2:$A$501,SAISIE!$I$2:$I$501,SAISIE!$I$2:$I$501)+((SAISIE!$D$2:$D$501&lt;&gt;A15)*1E9))),0)</f>
        <v/>
      </c>
      <c r="E15" s="4">
        <f>IFERROR(SUMPRODUCT((SAISIE!$D$2:$D$501=A15)/(COUNTIFS(SAISIE!$A$2:$A$501,SAISIE!$A$2:$A$501,SAISIE!$D$2:$D$501,A15)+((SAISIE!$D$2:$D$501&lt;&gt;A15)*1E9))),0)</f>
        <v/>
      </c>
    </row>
    <row r="16">
      <c r="A16" s="4">
        <f>IF(CONFIG!E18&lt;&gt;"",CONFIG!E18,"")</f>
        <v/>
      </c>
      <c r="B16" s="9">
        <f>IF(A16="",0,SUMIFS(SAISIE!$H$2:$H$501,SAISIE!$D$2:$D$501,A16))</f>
        <v/>
      </c>
      <c r="C16" s="4">
        <f>IF(A16="",0,COUNTIF(SAISIE!$D$2:$D$501,A16))</f>
        <v/>
      </c>
      <c r="D16" s="4">
        <f>IFERROR(SUMPRODUCT((SAISIE!$D$2:$D$501=A16)/(COUNTIFS(SAISIE!$D$2:$D$501,A16,SAISIE!$A$2:$A$501,SAISIE!$A$2:$A$501,SAISIE!$I$2:$I$501,SAISIE!$I$2:$I$501)+((SAISIE!$D$2:$D$501&lt;&gt;A16)*1E9))),0)</f>
        <v/>
      </c>
      <c r="E16" s="4">
        <f>IFERROR(SUMPRODUCT((SAISIE!$D$2:$D$501=A16)/(COUNTIFS(SAISIE!$A$2:$A$501,SAISIE!$A$2:$A$501,SAISIE!$D$2:$D$501,A16)+((SAISIE!$D$2:$D$501&lt;&gt;A16)*1E9))),0)</f>
        <v/>
      </c>
    </row>
    <row r="17">
      <c r="A17" s="4">
        <f>IF(CONFIG!E19&lt;&gt;"",CONFIG!E19,"")</f>
        <v/>
      </c>
      <c r="B17" s="9">
        <f>IF(A17="",0,SUMIFS(SAISIE!$H$2:$H$501,SAISIE!$D$2:$D$501,A17))</f>
        <v/>
      </c>
      <c r="C17" s="4">
        <f>IF(A17="",0,COUNTIF(SAISIE!$D$2:$D$501,A17))</f>
        <v/>
      </c>
      <c r="D17" s="4">
        <f>IFERROR(SUMPRODUCT((SAISIE!$D$2:$D$501=A17)/(COUNTIFS(SAISIE!$D$2:$D$501,A17,SAISIE!$A$2:$A$501,SAISIE!$A$2:$A$501,SAISIE!$I$2:$I$501,SAISIE!$I$2:$I$501)+((SAISIE!$D$2:$D$501&lt;&gt;A17)*1E9))),0)</f>
        <v/>
      </c>
      <c r="E17" s="4">
        <f>IFERROR(SUMPRODUCT((SAISIE!$D$2:$D$501=A17)/(COUNTIFS(SAISIE!$A$2:$A$501,SAISIE!$A$2:$A$501,SAISIE!$D$2:$D$501,A17)+((SAISIE!$D$2:$D$501&lt;&gt;A17)*1E9))),0)</f>
        <v/>
      </c>
    </row>
    <row r="18">
      <c r="A18" s="4">
        <f>IF(CONFIG!E20&lt;&gt;"",CONFIG!E20,"")</f>
        <v/>
      </c>
      <c r="B18" s="9">
        <f>IF(A18="",0,SUMIFS(SAISIE!$H$2:$H$501,SAISIE!$D$2:$D$501,A18))</f>
        <v/>
      </c>
      <c r="C18" s="4">
        <f>IF(A18="",0,COUNTIF(SAISIE!$D$2:$D$501,A18))</f>
        <v/>
      </c>
      <c r="D18" s="4">
        <f>IFERROR(SUMPRODUCT((SAISIE!$D$2:$D$501=A18)/(COUNTIFS(SAISIE!$D$2:$D$501,A18,SAISIE!$A$2:$A$501,SAISIE!$A$2:$A$501,SAISIE!$I$2:$I$501,SAISIE!$I$2:$I$501)+((SAISIE!$D$2:$D$501&lt;&gt;A18)*1E9))),0)</f>
        <v/>
      </c>
      <c r="E18" s="4">
        <f>IFERROR(SUMPRODUCT((SAISIE!$D$2:$D$501=A18)/(COUNTIFS(SAISIE!$A$2:$A$501,SAISIE!$A$2:$A$501,SAISIE!$D$2:$D$501,A18)+((SAISIE!$D$2:$D$501&lt;&gt;A18)*1E9))),0)</f>
        <v/>
      </c>
    </row>
    <row r="19">
      <c r="A19" s="4">
        <f>IF(CONFIG!E21&lt;&gt;"",CONFIG!E21,"")</f>
        <v/>
      </c>
      <c r="B19" s="9">
        <f>IF(A19="",0,SUMIFS(SAISIE!$H$2:$H$501,SAISIE!$D$2:$D$501,A19))</f>
        <v/>
      </c>
      <c r="C19" s="4">
        <f>IF(A19="",0,COUNTIF(SAISIE!$D$2:$D$501,A19))</f>
        <v/>
      </c>
      <c r="D19" s="4">
        <f>IFERROR(SUMPRODUCT((SAISIE!$D$2:$D$501=A19)/(COUNTIFS(SAISIE!$D$2:$D$501,A19,SAISIE!$A$2:$A$501,SAISIE!$A$2:$A$501,SAISIE!$I$2:$I$501,SAISIE!$I$2:$I$501)+((SAISIE!$D$2:$D$501&lt;&gt;A19)*1E9))),0)</f>
        <v/>
      </c>
      <c r="E19" s="4">
        <f>IFERROR(SUMPRODUCT((SAISIE!$D$2:$D$501=A19)/(COUNTIFS(SAISIE!$A$2:$A$501,SAISIE!$A$2:$A$501,SAISIE!$D$2:$D$501,A19)+((SAISIE!$D$2:$D$501&lt;&gt;A19)*1E9))),0)</f>
        <v/>
      </c>
    </row>
    <row r="20">
      <c r="A20" s="4">
        <f>IF(CONFIG!E22&lt;&gt;"",CONFIG!E22,"")</f>
        <v/>
      </c>
      <c r="B20" s="9">
        <f>IF(A20="",0,SUMIFS(SAISIE!$H$2:$H$501,SAISIE!$D$2:$D$501,A20))</f>
        <v/>
      </c>
      <c r="C20" s="4">
        <f>IF(A20="",0,COUNTIF(SAISIE!$D$2:$D$501,A20))</f>
        <v/>
      </c>
      <c r="D20" s="4">
        <f>IFERROR(SUMPRODUCT((SAISIE!$D$2:$D$501=A20)/(COUNTIFS(SAISIE!$D$2:$D$501,A20,SAISIE!$A$2:$A$501,SAISIE!$A$2:$A$501,SAISIE!$I$2:$I$501,SAISIE!$I$2:$I$501)+((SAISIE!$D$2:$D$501&lt;&gt;A20)*1E9))),0)</f>
        <v/>
      </c>
      <c r="E20" s="4">
        <f>IFERROR(SUMPRODUCT((SAISIE!$D$2:$D$501=A20)/(COUNTIFS(SAISIE!$A$2:$A$501,SAISIE!$A$2:$A$501,SAISIE!$D$2:$D$501,A20)+((SAISIE!$D$2:$D$501&lt;&gt;A20)*1E9))),0)</f>
        <v/>
      </c>
    </row>
    <row r="21">
      <c r="A21" s="4">
        <f>IF(CONFIG!E23&lt;&gt;"",CONFIG!E23,"")</f>
        <v/>
      </c>
      <c r="B21" s="9">
        <f>IF(A21="",0,SUMIFS(SAISIE!$H$2:$H$501,SAISIE!$D$2:$D$501,A21))</f>
        <v/>
      </c>
      <c r="C21" s="4">
        <f>IF(A21="",0,COUNTIF(SAISIE!$D$2:$D$501,A21))</f>
        <v/>
      </c>
      <c r="D21" s="4">
        <f>IFERROR(SUMPRODUCT((SAISIE!$D$2:$D$501=A21)/(COUNTIFS(SAISIE!$D$2:$D$501,A21,SAISIE!$A$2:$A$501,SAISIE!$A$2:$A$501,SAISIE!$I$2:$I$501,SAISIE!$I$2:$I$501)+((SAISIE!$D$2:$D$501&lt;&gt;A21)*1E9))),0)</f>
        <v/>
      </c>
      <c r="E21" s="4">
        <f>IFERROR(SUMPRODUCT((SAISIE!$D$2:$D$501=A21)/(COUNTIFS(SAISIE!$A$2:$A$501,SAISIE!$A$2:$A$501,SAISIE!$D$2:$D$501,A21)+((SAISIE!$D$2:$D$501&lt;&gt;A21)*1E9))),0)</f>
        <v/>
      </c>
    </row>
    <row r="22">
      <c r="A22" s="4">
        <f>IF(CONFIG!E24&lt;&gt;"",CONFIG!E24,"")</f>
        <v/>
      </c>
      <c r="B22" s="9">
        <f>IF(A22="",0,SUMIFS(SAISIE!$H$2:$H$501,SAISIE!$D$2:$D$501,A22))</f>
        <v/>
      </c>
      <c r="C22" s="4">
        <f>IF(A22="",0,COUNTIF(SAISIE!$D$2:$D$501,A22))</f>
        <v/>
      </c>
      <c r="D22" s="4">
        <f>IFERROR(SUMPRODUCT((SAISIE!$D$2:$D$501=A22)/(COUNTIFS(SAISIE!$D$2:$D$501,A22,SAISIE!$A$2:$A$501,SAISIE!$A$2:$A$501,SAISIE!$I$2:$I$501,SAISIE!$I$2:$I$501)+((SAISIE!$D$2:$D$501&lt;&gt;A22)*1E9))),0)</f>
        <v/>
      </c>
      <c r="E22" s="4">
        <f>IFERROR(SUMPRODUCT((SAISIE!$D$2:$D$501=A22)/(COUNTIFS(SAISIE!$A$2:$A$501,SAISIE!$A$2:$A$501,SAISIE!$D$2:$D$501,A22)+((SAISIE!$D$2:$D$501&lt;&gt;A22)*1E9))),0)</f>
        <v/>
      </c>
    </row>
    <row r="23">
      <c r="A23" s="13" t="inlineStr">
        <is>
          <t>TOTAL</t>
        </is>
      </c>
      <c r="B23" s="14">
        <f>SUM(B3:B22)</f>
        <v/>
      </c>
      <c r="C23" s="13">
        <f>SUM(C3:C22)</f>
        <v/>
      </c>
      <c r="D23" s="13">
        <f>SUM(D3:D22)</f>
        <v/>
      </c>
      <c r="E23" s="13">
        <f>SUM(E3:E22)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</cols>
  <sheetData>
    <row r="1">
      <c r="A1" s="1" t="inlineStr">
        <is>
          <t>SUIVI PAR INTERVENANT</t>
        </is>
      </c>
    </row>
    <row r="2">
      <c r="A2" s="7" t="inlineStr">
        <is>
          <t>Intervenant</t>
        </is>
      </c>
      <c r="B2" s="7" t="inlineStr">
        <is>
          <t>Dose totale (mSv)</t>
        </is>
      </c>
      <c r="C2" s="7" t="inlineStr">
        <is>
          <t>Postes</t>
        </is>
      </c>
      <c r="D2" s="7" t="inlineStr">
        <is>
          <t>Dose moy/poste</t>
        </is>
      </c>
      <c r="E2" s="7" t="inlineStr">
        <is>
          <t>% limite (3 mSv)</t>
        </is>
      </c>
    </row>
    <row r="3">
      <c r="A3" s="4">
        <f>IF(CONFIG!A5&lt;&gt;"",CONFIG!A5,"")</f>
        <v/>
      </c>
      <c r="B3" s="9">
        <f>IF(A3="",0,SUMIFS(SAISIE!$H$2:$H$501,SAISIE!$I$2:$I$501,A3))</f>
        <v/>
      </c>
      <c r="C3" s="4">
        <f>IF(A3="",0,COUNTIF(SAISIE!$I$2:$I$501,A3))</f>
        <v/>
      </c>
      <c r="D3" s="9">
        <f>IF(OR(A3="",C3=0),"",B3/C3)</f>
        <v/>
      </c>
      <c r="E3" s="10">
        <f>IF(A3="","",B3/3)</f>
        <v/>
      </c>
    </row>
    <row r="4">
      <c r="A4" s="4">
        <f>IF(CONFIG!A6&lt;&gt;"",CONFIG!A6,"")</f>
        <v/>
      </c>
      <c r="B4" s="9">
        <f>IF(A4="",0,SUMIFS(SAISIE!$H$2:$H$501,SAISIE!$I$2:$I$501,A4))</f>
        <v/>
      </c>
      <c r="C4" s="4">
        <f>IF(A4="",0,COUNTIF(SAISIE!$I$2:$I$501,A4))</f>
        <v/>
      </c>
      <c r="D4" s="9">
        <f>IF(OR(A4="",C4=0),"",B4/C4)</f>
        <v/>
      </c>
      <c r="E4" s="10">
        <f>IF(A4="","",B4/3)</f>
        <v/>
      </c>
    </row>
    <row r="5">
      <c r="A5" s="4">
        <f>IF(CONFIG!A7&lt;&gt;"",CONFIG!A7,"")</f>
        <v/>
      </c>
      <c r="B5" s="9">
        <f>IF(A5="",0,SUMIFS(SAISIE!$H$2:$H$501,SAISIE!$I$2:$I$501,A5))</f>
        <v/>
      </c>
      <c r="C5" s="4">
        <f>IF(A5="",0,COUNTIF(SAISIE!$I$2:$I$501,A5))</f>
        <v/>
      </c>
      <c r="D5" s="9">
        <f>IF(OR(A5="",C5=0),"",B5/C5)</f>
        <v/>
      </c>
      <c r="E5" s="10">
        <f>IF(A5="","",B5/3)</f>
        <v/>
      </c>
    </row>
    <row r="6">
      <c r="A6" s="4">
        <f>IF(CONFIG!A8&lt;&gt;"",CONFIG!A8,"")</f>
        <v/>
      </c>
      <c r="B6" s="9">
        <f>IF(A6="",0,SUMIFS(SAISIE!$H$2:$H$501,SAISIE!$I$2:$I$501,A6))</f>
        <v/>
      </c>
      <c r="C6" s="4">
        <f>IF(A6="",0,COUNTIF(SAISIE!$I$2:$I$501,A6))</f>
        <v/>
      </c>
      <c r="D6" s="9">
        <f>IF(OR(A6="",C6=0),"",B6/C6)</f>
        <v/>
      </c>
      <c r="E6" s="10">
        <f>IF(A6="","",B6/3)</f>
        <v/>
      </c>
    </row>
    <row r="7">
      <c r="A7" s="4">
        <f>IF(CONFIG!A9&lt;&gt;"",CONFIG!A9,"")</f>
        <v/>
      </c>
      <c r="B7" s="9">
        <f>IF(A7="",0,SUMIFS(SAISIE!$H$2:$H$501,SAISIE!$I$2:$I$501,A7))</f>
        <v/>
      </c>
      <c r="C7" s="4">
        <f>IF(A7="",0,COUNTIF(SAISIE!$I$2:$I$501,A7))</f>
        <v/>
      </c>
      <c r="D7" s="9">
        <f>IF(OR(A7="",C7=0),"",B7/C7)</f>
        <v/>
      </c>
      <c r="E7" s="10">
        <f>IF(A7="","",B7/3)</f>
        <v/>
      </c>
    </row>
    <row r="8">
      <c r="A8" s="4">
        <f>IF(CONFIG!A10&lt;&gt;"",CONFIG!A10,"")</f>
        <v/>
      </c>
      <c r="B8" s="9">
        <f>IF(A8="",0,SUMIFS(SAISIE!$H$2:$H$501,SAISIE!$I$2:$I$501,A8))</f>
        <v/>
      </c>
      <c r="C8" s="4">
        <f>IF(A8="",0,COUNTIF(SAISIE!$I$2:$I$501,A8))</f>
        <v/>
      </c>
      <c r="D8" s="9">
        <f>IF(OR(A8="",C8=0),"",B8/C8)</f>
        <v/>
      </c>
      <c r="E8" s="10">
        <f>IF(A8="","",B8/3)</f>
        <v/>
      </c>
    </row>
    <row r="9">
      <c r="A9" s="4">
        <f>IF(CONFIG!A11&lt;&gt;"",CONFIG!A11,"")</f>
        <v/>
      </c>
      <c r="B9" s="9">
        <f>IF(A9="",0,SUMIFS(SAISIE!$H$2:$H$501,SAISIE!$I$2:$I$501,A9))</f>
        <v/>
      </c>
      <c r="C9" s="4">
        <f>IF(A9="",0,COUNTIF(SAISIE!$I$2:$I$501,A9))</f>
        <v/>
      </c>
      <c r="D9" s="9">
        <f>IF(OR(A9="",C9=0),"",B9/C9)</f>
        <v/>
      </c>
      <c r="E9" s="10">
        <f>IF(A9="","",B9/3)</f>
        <v/>
      </c>
    </row>
    <row r="10">
      <c r="A10" s="4">
        <f>IF(CONFIG!A12&lt;&gt;"",CONFIG!A12,"")</f>
        <v/>
      </c>
      <c r="B10" s="9">
        <f>IF(A10="",0,SUMIFS(SAISIE!$H$2:$H$501,SAISIE!$I$2:$I$501,A10))</f>
        <v/>
      </c>
      <c r="C10" s="4">
        <f>IF(A10="",0,COUNTIF(SAISIE!$I$2:$I$501,A10))</f>
        <v/>
      </c>
      <c r="D10" s="9">
        <f>IF(OR(A10="",C10=0),"",B10/C10)</f>
        <v/>
      </c>
      <c r="E10" s="10">
        <f>IF(A10="","",B10/3)</f>
        <v/>
      </c>
    </row>
    <row r="11">
      <c r="A11" s="4">
        <f>IF(CONFIG!A13&lt;&gt;"",CONFIG!A13,"")</f>
        <v/>
      </c>
      <c r="B11" s="9">
        <f>IF(A11="",0,SUMIFS(SAISIE!$H$2:$H$501,SAISIE!$I$2:$I$501,A11))</f>
        <v/>
      </c>
      <c r="C11" s="4">
        <f>IF(A11="",0,COUNTIF(SAISIE!$I$2:$I$501,A11))</f>
        <v/>
      </c>
      <c r="D11" s="9">
        <f>IF(OR(A11="",C11=0),"",B11/C11)</f>
        <v/>
      </c>
      <c r="E11" s="10">
        <f>IF(A11="","",B11/3)</f>
        <v/>
      </c>
    </row>
    <row r="12">
      <c r="A12" s="4">
        <f>IF(CONFIG!A14&lt;&gt;"",CONFIG!A14,"")</f>
        <v/>
      </c>
      <c r="B12" s="9">
        <f>IF(A12="",0,SUMIFS(SAISIE!$H$2:$H$501,SAISIE!$I$2:$I$501,A12))</f>
        <v/>
      </c>
      <c r="C12" s="4">
        <f>IF(A12="",0,COUNTIF(SAISIE!$I$2:$I$501,A12))</f>
        <v/>
      </c>
      <c r="D12" s="9">
        <f>IF(OR(A12="",C12=0),"",B12/C12)</f>
        <v/>
      </c>
      <c r="E12" s="10">
        <f>IF(A12="","",B12/3)</f>
        <v/>
      </c>
    </row>
    <row r="13">
      <c r="A13" s="4">
        <f>IF(CONFIG!A15&lt;&gt;"",CONFIG!A15,"")</f>
        <v/>
      </c>
      <c r="B13" s="9">
        <f>IF(A13="",0,SUMIFS(SAISIE!$H$2:$H$501,SAISIE!$I$2:$I$501,A13))</f>
        <v/>
      </c>
      <c r="C13" s="4">
        <f>IF(A13="",0,COUNTIF(SAISIE!$I$2:$I$501,A13))</f>
        <v/>
      </c>
      <c r="D13" s="9">
        <f>IF(OR(A13="",C13=0),"",B13/C13)</f>
        <v/>
      </c>
      <c r="E13" s="10">
        <f>IF(A13="","",B13/3)</f>
        <v/>
      </c>
    </row>
    <row r="14">
      <c r="A14" s="4">
        <f>IF(CONFIG!A16&lt;&gt;"",CONFIG!A16,"")</f>
        <v/>
      </c>
      <c r="B14" s="9">
        <f>IF(A14="",0,SUMIFS(SAISIE!$H$2:$H$501,SAISIE!$I$2:$I$501,A14))</f>
        <v/>
      </c>
      <c r="C14" s="4">
        <f>IF(A14="",0,COUNTIF(SAISIE!$I$2:$I$501,A14))</f>
        <v/>
      </c>
      <c r="D14" s="9">
        <f>IF(OR(A14="",C14=0),"",B14/C14)</f>
        <v/>
      </c>
      <c r="E14" s="10">
        <f>IF(A14="","",B14/3)</f>
        <v/>
      </c>
    </row>
    <row r="15">
      <c r="A15" s="4">
        <f>IF(CONFIG!A17&lt;&gt;"",CONFIG!A17,"")</f>
        <v/>
      </c>
      <c r="B15" s="9">
        <f>IF(A15="",0,SUMIFS(SAISIE!$H$2:$H$501,SAISIE!$I$2:$I$501,A15))</f>
        <v/>
      </c>
      <c r="C15" s="4">
        <f>IF(A15="",0,COUNTIF(SAISIE!$I$2:$I$501,A15))</f>
        <v/>
      </c>
      <c r="D15" s="9">
        <f>IF(OR(A15="",C15=0),"",B15/C15)</f>
        <v/>
      </c>
      <c r="E15" s="10">
        <f>IF(A15="","",B15/3)</f>
        <v/>
      </c>
    </row>
    <row r="16">
      <c r="A16" s="4">
        <f>IF(CONFIG!A18&lt;&gt;"",CONFIG!A18,"")</f>
        <v/>
      </c>
      <c r="B16" s="9">
        <f>IF(A16="",0,SUMIFS(SAISIE!$H$2:$H$501,SAISIE!$I$2:$I$501,A16))</f>
        <v/>
      </c>
      <c r="C16" s="4">
        <f>IF(A16="",0,COUNTIF(SAISIE!$I$2:$I$501,A16))</f>
        <v/>
      </c>
      <c r="D16" s="9">
        <f>IF(OR(A16="",C16=0),"",B16/C16)</f>
        <v/>
      </c>
      <c r="E16" s="10">
        <f>IF(A16="","",B16/3)</f>
        <v/>
      </c>
    </row>
    <row r="17">
      <c r="A17" s="4">
        <f>IF(CONFIG!A19&lt;&gt;"",CONFIG!A19,"")</f>
        <v/>
      </c>
      <c r="B17" s="9">
        <f>IF(A17="",0,SUMIFS(SAISIE!$H$2:$H$501,SAISIE!$I$2:$I$501,A17))</f>
        <v/>
      </c>
      <c r="C17" s="4">
        <f>IF(A17="",0,COUNTIF(SAISIE!$I$2:$I$501,A17))</f>
        <v/>
      </c>
      <c r="D17" s="9">
        <f>IF(OR(A17="",C17=0),"",B17/C17)</f>
        <v/>
      </c>
      <c r="E17" s="10">
        <f>IF(A17="","",B17/3)</f>
        <v/>
      </c>
    </row>
    <row r="18">
      <c r="A18" s="4">
        <f>IF(CONFIG!A20&lt;&gt;"",CONFIG!A20,"")</f>
        <v/>
      </c>
      <c r="B18" s="9">
        <f>IF(A18="",0,SUMIFS(SAISIE!$H$2:$H$501,SAISIE!$I$2:$I$501,A18))</f>
        <v/>
      </c>
      <c r="C18" s="4">
        <f>IF(A18="",0,COUNTIF(SAISIE!$I$2:$I$501,A18))</f>
        <v/>
      </c>
      <c r="D18" s="9">
        <f>IF(OR(A18="",C18=0),"",B18/C18)</f>
        <v/>
      </c>
      <c r="E18" s="10">
        <f>IF(A18="","",B18/3)</f>
        <v/>
      </c>
    </row>
    <row r="19">
      <c r="A19" s="4">
        <f>IF(CONFIG!A21&lt;&gt;"",CONFIG!A21,"")</f>
        <v/>
      </c>
      <c r="B19" s="9">
        <f>IF(A19="",0,SUMIFS(SAISIE!$H$2:$H$501,SAISIE!$I$2:$I$501,A19))</f>
        <v/>
      </c>
      <c r="C19" s="4">
        <f>IF(A19="",0,COUNTIF(SAISIE!$I$2:$I$501,A19))</f>
        <v/>
      </c>
      <c r="D19" s="9">
        <f>IF(OR(A19="",C19=0),"",B19/C19)</f>
        <v/>
      </c>
      <c r="E19" s="10">
        <f>IF(A19="","",B19/3)</f>
        <v/>
      </c>
    </row>
    <row r="20">
      <c r="A20" s="4">
        <f>IF(CONFIG!A22&lt;&gt;"",CONFIG!A22,"")</f>
        <v/>
      </c>
      <c r="B20" s="9">
        <f>IF(A20="",0,SUMIFS(SAISIE!$H$2:$H$501,SAISIE!$I$2:$I$501,A20))</f>
        <v/>
      </c>
      <c r="C20" s="4">
        <f>IF(A20="",0,COUNTIF(SAISIE!$I$2:$I$501,A20))</f>
        <v/>
      </c>
      <c r="D20" s="9">
        <f>IF(OR(A20="",C20=0),"",B20/C20)</f>
        <v/>
      </c>
      <c r="E20" s="10">
        <f>IF(A20="","",B20/3)</f>
        <v/>
      </c>
    </row>
    <row r="21">
      <c r="A21" s="4">
        <f>IF(CONFIG!A23&lt;&gt;"",CONFIG!A23,"")</f>
        <v/>
      </c>
      <c r="B21" s="9">
        <f>IF(A21="",0,SUMIFS(SAISIE!$H$2:$H$501,SAISIE!$I$2:$I$501,A21))</f>
        <v/>
      </c>
      <c r="C21" s="4">
        <f>IF(A21="",0,COUNTIF(SAISIE!$I$2:$I$501,A21))</f>
        <v/>
      </c>
      <c r="D21" s="9">
        <f>IF(OR(A21="",C21=0),"",B21/C21)</f>
        <v/>
      </c>
      <c r="E21" s="10">
        <f>IF(A21="","",B21/3)</f>
        <v/>
      </c>
    </row>
    <row r="22">
      <c r="A22" s="4">
        <f>IF(CONFIG!A24&lt;&gt;"",CONFIG!A24,"")</f>
        <v/>
      </c>
      <c r="B22" s="9">
        <f>IF(A22="",0,SUMIFS(SAISIE!$H$2:$H$501,SAISIE!$I$2:$I$501,A22))</f>
        <v/>
      </c>
      <c r="C22" s="4">
        <f>IF(A22="",0,COUNTIF(SAISIE!$I$2:$I$501,A22))</f>
        <v/>
      </c>
      <c r="D22" s="9">
        <f>IF(OR(A22="",C22=0),"",B22/C22)</f>
        <v/>
      </c>
      <c r="E22" s="10">
        <f>IF(A22="","",B22/3)</f>
        <v/>
      </c>
    </row>
    <row r="23">
      <c r="A23" s="13" t="inlineStr">
        <is>
          <t>TOTAL</t>
        </is>
      </c>
      <c r="B23" s="14">
        <f>SUM(B3:B22)</f>
        <v/>
      </c>
      <c r="C23" s="13">
        <f>SUM(C3:C22)</f>
        <v/>
      </c>
      <c r="D23" s="14">
        <f>IFERROR(B23/C23,"")</f>
        <v/>
      </c>
      <c r="E23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2026-02-24T23:39:30Z</dcterms:created>
  <dcterms:modified xsi:type="dcterms:W3CDTF">2026-02-24T23:39:30Z</dcterms:modified>
</cp:coreProperties>
</file>