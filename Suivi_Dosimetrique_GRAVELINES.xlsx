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ABLEAU_DE_BORD" sheetId="1" r:id="rId1"/>
    <sheet name="CONFIG" sheetId="2" r:id="rId2"/>
    <sheet name="SAISIE" sheetId="3" r:id="rId3"/>
    <sheet name="SUIVI_RTR" sheetId="4" r:id="rId4"/>
    <sheet name="SUIVI_BATIMENT" sheetId="5" r:id="rId5"/>
    <sheet name="SUIVI_INTERVENANT" sheetId="6" r:id="rId6"/>
  </sheets>
  <definedNames>
    <definedName name="_xlnm._FilterDatabase" localSheetId="1" hidden="1">SAISIE!$A$2:$J$202</definedName>
    <definedName name="lst_batiments">CONFIG!$E$5:$E$24</definedName>
    <definedName name="lst_dj">CONFIG!$G$5:$G$6</definedName>
    <definedName name="lst_intervenants">CONFIG!$A$5:$A$24</definedName>
    <definedName name="lst_rtr">CONFIG!$C$5:$C$34</definedName>
  </definedNames>
  <calcPr calcId="124519" fullCalcOnLoad="1"/>
</workbook>
</file>

<file path=xl/sharedStrings.xml><?xml version="1.0" encoding="utf-8"?>
<sst xmlns="http://schemas.openxmlformats.org/spreadsheetml/2006/main" count="84" uniqueCount="67">
  <si>
    <t>CONFIGURATION - Listes de reference</t>
  </si>
  <si>
    <t>Modifiez les listes ci-dessous. Les feuilles se mettent a jour automatiquement.</t>
  </si>
  <si>
    <t>Intervenants</t>
  </si>
  <si>
    <t>RTR</t>
  </si>
  <si>
    <t>Batiments</t>
  </si>
  <si>
    <t>Demi-journee</t>
  </si>
  <si>
    <t>XG</t>
  </si>
  <si>
    <t>VM</t>
  </si>
  <si>
    <t>LB</t>
  </si>
  <si>
    <t>BB</t>
  </si>
  <si>
    <t>AA</t>
  </si>
  <si>
    <t>AC</t>
  </si>
  <si>
    <t>RTR-1</t>
  </si>
  <si>
    <t>RTR-ZO-1</t>
  </si>
  <si>
    <t>RTR-N-1</t>
  </si>
  <si>
    <t>BR5</t>
  </si>
  <si>
    <t>BR6</t>
  </si>
  <si>
    <t>BL5</t>
  </si>
  <si>
    <t>BL6</t>
  </si>
  <si>
    <t>BL7</t>
  </si>
  <si>
    <t>BK5</t>
  </si>
  <si>
    <t>BK6</t>
  </si>
  <si>
    <t>BAN7</t>
  </si>
  <si>
    <t>DB5</t>
  </si>
  <si>
    <t>DB6</t>
  </si>
  <si>
    <t>AM</t>
  </si>
  <si>
    <t>PM</t>
  </si>
  <si>
    <t>SAISIE DOSIMETRIQUE - ED Survey Gravelines</t>
  </si>
  <si>
    <t>Date</t>
  </si>
  <si>
    <t>DJ</t>
  </si>
  <si>
    <t>Batiment</t>
  </si>
  <si>
    <t>Hp(10) mSv</t>
  </si>
  <si>
    <t>Hp(0.07) mSv</t>
  </si>
  <si>
    <t>Neutron mSv</t>
  </si>
  <si>
    <t>Dose totale</t>
  </si>
  <si>
    <t>Intervenant</t>
  </si>
  <si>
    <t>Commentaire</t>
  </si>
  <si>
    <t>Exemple de saisie</t>
  </si>
  <si>
    <t>SUIVI PAR RTR</t>
  </si>
  <si>
    <t>Prevu (mSv)</t>
  </si>
  <si>
    <t>Consomme (mSv)</t>
  </si>
  <si>
    <t>Reste (mSv)</t>
  </si>
  <si>
    <t>% consomme</t>
  </si>
  <si>
    <t>Passages</t>
  </si>
  <si>
    <t>TOTAL</t>
  </si>
  <si>
    <t>SUIVI PAR BATIMENT</t>
  </si>
  <si>
    <t>Dose totale (mSv)</t>
  </si>
  <si>
    <t>Dose moyenne/passage</t>
  </si>
  <si>
    <t>SUIVI PAR INTERVENANT</t>
  </si>
  <si>
    <t>Dose moy/passage</t>
  </si>
  <si>
    <t>Limite 20 mSv</t>
  </si>
  <si>
    <t>TABLEAU DE BORD</t>
  </si>
  <si>
    <t>Indicateur</t>
  </si>
  <si>
    <t>Valeur</t>
  </si>
  <si>
    <t>Unite</t>
  </si>
  <si>
    <t>Dose collective totale</t>
  </si>
  <si>
    <t>mSv</t>
  </si>
  <si>
    <t>Dose prevue totale</t>
  </si>
  <si>
    <t>Reste a consommer</t>
  </si>
  <si>
    <t>% global consomme</t>
  </si>
  <si>
    <t>%</t>
  </si>
  <si>
    <t>Nb total de passages</t>
  </si>
  <si>
    <t>passages</t>
  </si>
  <si>
    <t>RTR actifs</t>
  </si>
  <si>
    <t>Intervenants actifs</t>
  </si>
  <si>
    <t>personnes</t>
  </si>
  <si>
    <t>Dose max individuelle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</si>
</sst>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0%"/>
    <numFmt numFmtId="166" formatCode="DD/MM/YYYY"/>
  </numFmts>
  <fonts count="6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rgb="FF808080"/>
      <name val="Calibri"/>
      <family val="2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F5496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/>
    </xf>
    <xf numFmtId="164" fontId="3" fillId="5" borderId="1" xfId="0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5" fontId="3" fillId="5" borderId="1" xfId="0" applyNumberFormat="1" applyFont="1" applyFill="1" applyBorder="1" applyAlignment="1">
      <alignment horizontal="center"/>
    </xf>
    <xf numFmtId="1" fontId="3" fillId="5" borderId="1" xfId="0" applyNumberFormat="1" applyFont="1" applyFill="1" applyBorder="1" applyAlignment="1">
      <alignment horizontal="center"/>
    </xf>
    <xf numFmtId="0" fontId="4" fillId="0" borderId="0" xfId="0" applyFont="1" applyAlignment="1">
      <alignment horizontal="left"/>
    </xf>
    <xf numFmtId="0" fontId="5" fillId="4" borderId="1" xfId="0" applyFont="1" applyFill="1" applyBorder="1" applyAlignment="1">
      <alignment horizontal="center"/>
    </xf>
    <xf numFmtId="166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164" fontId="5" fillId="5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left" wrapText="1"/>
    </xf>
    <xf numFmtId="0" fontId="5" fillId="4" borderId="1" xfId="0" applyFont="1" applyFill="1" applyBorder="1" applyAlignment="1">
      <alignment horizontal="left"/>
    </xf>
    <xf numFmtId="165" fontId="5" fillId="5" borderId="1" xfId="0" applyNumberFormat="1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65" fontId="2" fillId="3" borderId="1" xfId="0" applyNumberFormat="1" applyFont="1" applyFill="1" applyBorder="1" applyAlignment="1">
      <alignment horizontal="center"/>
    </xf>
    <xf numFmtId="1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numFmt numFmtId="165" formatCode="0%"/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FF0000"/>
  </sheetPr>
  <dimension ref="A1:C10"/>
  <sheetViews>
    <sheetView showGridLines="0" tabSelected="1" workbookViewId="0">
      <pane ySplit="2" topLeftCell="A3" activePane="bottomLeft" state="frozen"/>
      <selection pane="bottomLeft"/>
    </sheetView>
  </sheetViews>
  <sheetFormatPr defaultRowHeight="15"/>
  <cols>
    <col min="1" max="1" width="30.7109375" customWidth="1"/>
    <col min="2" max="3" width="18.7109375" customWidth="1"/>
  </cols>
  <sheetData>
    <row r="1" spans="1:3" ht="30" customHeight="1">
      <c r="A1" s="1" t="s">
        <v>51</v>
      </c>
      <c r="B1" s="1"/>
      <c r="C1" s="1"/>
    </row>
    <row r="2" spans="1:3">
      <c r="A2" s="2" t="s">
        <v>52</v>
      </c>
      <c r="B2" s="2" t="s">
        <v>53</v>
      </c>
      <c r="C2" s="2" t="s">
        <v>54</v>
      </c>
    </row>
    <row r="3" spans="1:3">
      <c r="A3" s="3" t="s">
        <v>55</v>
      </c>
      <c r="B3" s="4">
        <f>SUIVI_RTR!C33</f>
        <v>0</v>
      </c>
      <c r="C3" s="5" t="s">
        <v>56</v>
      </c>
    </row>
    <row r="4" spans="1:3">
      <c r="A4" s="3" t="s">
        <v>57</v>
      </c>
      <c r="B4" s="4">
        <f>SUIVI_RTR!B33</f>
        <v>0</v>
      </c>
      <c r="C4" s="5" t="s">
        <v>56</v>
      </c>
    </row>
    <row r="5" spans="1:3">
      <c r="A5" s="3" t="s">
        <v>58</v>
      </c>
      <c r="B5" s="4">
        <f>SUIVI_RTR!D33</f>
        <v>0</v>
      </c>
      <c r="C5" s="5" t="s">
        <v>56</v>
      </c>
    </row>
    <row r="6" spans="1:3">
      <c r="A6" s="3" t="s">
        <v>59</v>
      </c>
      <c r="B6" s="6">
        <f>SUIVI_RTR!E33</f>
        <v>0</v>
      </c>
      <c r="C6" s="5" t="s">
        <v>60</v>
      </c>
    </row>
    <row r="7" spans="1:3">
      <c r="A7" s="3" t="s">
        <v>61</v>
      </c>
      <c r="B7" s="7">
        <f>SUIVI_RTR!F33</f>
        <v>0</v>
      </c>
      <c r="C7" s="5" t="s">
        <v>62</v>
      </c>
    </row>
    <row r="8" spans="1:3">
      <c r="A8" s="3" t="s">
        <v>63</v>
      </c>
      <c r="B8" s="7">
        <f>COUNTA(CONFIG!C5:C34)</f>
        <v>0</v>
      </c>
      <c r="C8" s="5" t="s">
        <v>3</v>
      </c>
    </row>
    <row r="9" spans="1:3">
      <c r="A9" s="3" t="s">
        <v>64</v>
      </c>
      <c r="B9" s="7">
        <f>COUNTA(CONFIG!A5:A24)</f>
        <v>0</v>
      </c>
      <c r="C9" s="5" t="s">
        <v>65</v>
      </c>
    </row>
    <row r="10" spans="1:3">
      <c r="A10" s="3" t="s">
        <v>66</v>
      </c>
      <c r="B10" s="4">
        <f>MAX(SUIVI_INTERVENANT!B3:B22)</f>
        <v>0</v>
      </c>
      <c r="C10" s="5" t="s">
        <v>56</v>
      </c>
    </row>
  </sheetData>
  <mergeCells count="1">
    <mergeCell ref="A1:C1"/>
  </mergeCells>
  <conditionalFormatting sqref="B10">
    <cfRule type="cellIs" dxfId="0" priority="1" operator="greaterThanOrEqual">
      <formula>16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04040"/>
  </sheetPr>
  <dimension ref="A1:G34"/>
  <sheetViews>
    <sheetView showGridLines="0" workbookViewId="0"/>
  </sheetViews>
  <sheetFormatPr defaultRowHeight="15"/>
  <cols>
    <col min="1" max="1" width="18.7109375" customWidth="1"/>
    <col min="2" max="2" width="3.7109375" customWidth="1"/>
    <col min="3" max="3" width="18.7109375" customWidth="1"/>
    <col min="4" max="4" width="3.7109375" customWidth="1"/>
    <col min="5" max="5" width="18.7109375" customWidth="1"/>
    <col min="6" max="6" width="3.7109375" customWidth="1"/>
    <col min="7" max="7" width="18.7109375" customWidth="1"/>
  </cols>
  <sheetData>
    <row r="1" spans="1:7">
      <c r="A1" s="1" t="s">
        <v>0</v>
      </c>
      <c r="B1" s="1"/>
      <c r="C1" s="1"/>
      <c r="D1" s="1"/>
      <c r="E1" s="1"/>
      <c r="F1" s="1"/>
      <c r="G1" s="1"/>
    </row>
    <row r="2" spans="1:7">
      <c r="A2" s="8" t="s">
        <v>1</v>
      </c>
    </row>
    <row r="4" spans="1:7">
      <c r="A4" s="2" t="s">
        <v>2</v>
      </c>
      <c r="C4" s="2" t="s">
        <v>3</v>
      </c>
      <c r="E4" s="2" t="s">
        <v>4</v>
      </c>
      <c r="G4" s="2" t="s">
        <v>5</v>
      </c>
    </row>
    <row r="5" spans="1:7">
      <c r="A5" s="9" t="s">
        <v>6</v>
      </c>
      <c r="C5" s="9" t="s">
        <v>12</v>
      </c>
      <c r="E5" s="9" t="s">
        <v>15</v>
      </c>
      <c r="G5" s="9" t="s">
        <v>25</v>
      </c>
    </row>
    <row r="6" spans="1:7">
      <c r="A6" s="9" t="s">
        <v>7</v>
      </c>
      <c r="C6" s="9" t="s">
        <v>13</v>
      </c>
      <c r="E6" s="9" t="s">
        <v>16</v>
      </c>
      <c r="G6" s="9" t="s">
        <v>26</v>
      </c>
    </row>
    <row r="7" spans="1:7">
      <c r="A7" s="9" t="s">
        <v>8</v>
      </c>
      <c r="C7" s="9" t="s">
        <v>14</v>
      </c>
      <c r="E7" s="9" t="s">
        <v>17</v>
      </c>
    </row>
    <row r="8" spans="1:7">
      <c r="A8" s="9" t="s">
        <v>9</v>
      </c>
      <c r="C8" s="9"/>
      <c r="E8" s="9" t="s">
        <v>18</v>
      </c>
    </row>
    <row r="9" spans="1:7">
      <c r="A9" s="9" t="s">
        <v>10</v>
      </c>
      <c r="C9" s="9"/>
      <c r="E9" s="9" t="s">
        <v>19</v>
      </c>
    </row>
    <row r="10" spans="1:7">
      <c r="A10" s="9" t="s">
        <v>11</v>
      </c>
      <c r="C10" s="9"/>
      <c r="E10" s="9" t="s">
        <v>20</v>
      </c>
    </row>
    <row r="11" spans="1:7">
      <c r="A11" s="9"/>
      <c r="C11" s="9"/>
      <c r="E11" s="9" t="s">
        <v>21</v>
      </c>
    </row>
    <row r="12" spans="1:7">
      <c r="A12" s="9"/>
      <c r="C12" s="9"/>
      <c r="E12" s="9" t="s">
        <v>22</v>
      </c>
    </row>
    <row r="13" spans="1:7">
      <c r="A13" s="9"/>
      <c r="C13" s="9"/>
      <c r="E13" s="9" t="s">
        <v>23</v>
      </c>
    </row>
    <row r="14" spans="1:7">
      <c r="A14" s="9"/>
      <c r="C14" s="9"/>
      <c r="E14" s="9" t="s">
        <v>24</v>
      </c>
    </row>
    <row r="15" spans="1:7">
      <c r="A15" s="9"/>
      <c r="C15" s="9"/>
      <c r="E15" s="9"/>
    </row>
    <row r="16" spans="1:7">
      <c r="A16" s="9"/>
      <c r="C16" s="9"/>
      <c r="E16" s="9"/>
    </row>
    <row r="17" spans="1:5">
      <c r="A17" s="9"/>
      <c r="C17" s="9"/>
      <c r="E17" s="9"/>
    </row>
    <row r="18" spans="1:5">
      <c r="A18" s="9"/>
      <c r="C18" s="9"/>
      <c r="E18" s="9"/>
    </row>
    <row r="19" spans="1:5">
      <c r="A19" s="9"/>
      <c r="C19" s="9"/>
      <c r="E19" s="9"/>
    </row>
    <row r="20" spans="1:5">
      <c r="A20" s="9"/>
      <c r="C20" s="9"/>
      <c r="E20" s="9"/>
    </row>
    <row r="21" spans="1:5">
      <c r="A21" s="9"/>
      <c r="C21" s="9"/>
      <c r="E21" s="9"/>
    </row>
    <row r="22" spans="1:5">
      <c r="A22" s="9"/>
      <c r="C22" s="9"/>
      <c r="E22" s="9"/>
    </row>
    <row r="23" spans="1:5">
      <c r="A23" s="9"/>
      <c r="C23" s="9"/>
      <c r="E23" s="9"/>
    </row>
    <row r="24" spans="1:5">
      <c r="A24" s="9"/>
      <c r="C24" s="9"/>
      <c r="E24" s="9"/>
    </row>
    <row r="25" spans="1:5">
      <c r="A25" s="8"/>
      <c r="C25" s="9"/>
    </row>
    <row r="26" spans="1:5">
      <c r="A26" s="8">
        <f>COUNTA(A5:A24)&amp;" / 20 intervenants"</f>
        <v>0</v>
      </c>
      <c r="C26" s="8">
        <f>COUNTA(C5:C34)&amp;" / 30 RTR"</f>
        <v>0</v>
      </c>
      <c r="E26" s="8">
        <f>COUNTA(E5:E24)&amp;" / 20 batiments"</f>
        <v>0</v>
      </c>
    </row>
    <row r="27" spans="1:5">
      <c r="C27" s="9"/>
    </row>
    <row r="28" spans="1:5">
      <c r="C28" s="9"/>
    </row>
    <row r="29" spans="1:5">
      <c r="C29" s="9"/>
    </row>
    <row r="30" spans="1:5">
      <c r="C30" s="9"/>
    </row>
    <row r="31" spans="1:5">
      <c r="C31" s="9"/>
    </row>
    <row r="32" spans="1:5">
      <c r="C32" s="9"/>
    </row>
    <row r="33" spans="3:3">
      <c r="C33" s="9"/>
    </row>
    <row r="34" spans="3:3">
      <c r="C34" s="9"/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75623"/>
  </sheetPr>
  <dimension ref="A1:J202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13.7109375" customWidth="1"/>
    <col min="2" max="2" width="6.7109375" customWidth="1"/>
    <col min="3" max="3" width="13.7109375" customWidth="1"/>
    <col min="4" max="4" width="10.7109375" customWidth="1"/>
    <col min="5" max="8" width="14.7109375" customWidth="1"/>
    <col min="9" max="9" width="13.7109375" customWidth="1"/>
    <col min="10" max="10" width="30.7109375" customWidth="1"/>
  </cols>
  <sheetData>
    <row r="1" spans="1:10" ht="30" customHeight="1">
      <c r="A1" s="1" t="s">
        <v>27</v>
      </c>
      <c r="B1" s="1"/>
      <c r="C1" s="1"/>
      <c r="D1" s="1"/>
      <c r="E1" s="1"/>
      <c r="F1" s="1"/>
      <c r="G1" s="1"/>
      <c r="H1" s="1"/>
      <c r="I1" s="1"/>
      <c r="J1" s="1"/>
    </row>
    <row r="2" spans="1:10" ht="25" customHeight="1">
      <c r="A2" s="2" t="s">
        <v>28</v>
      </c>
      <c r="B2" s="2" t="s">
        <v>29</v>
      </c>
      <c r="C2" s="2" t="s">
        <v>3</v>
      </c>
      <c r="D2" s="2" t="s">
        <v>30</v>
      </c>
      <c r="E2" s="2" t="s">
        <v>31</v>
      </c>
      <c r="F2" s="2" t="s">
        <v>32</v>
      </c>
      <c r="G2" s="2" t="s">
        <v>33</v>
      </c>
      <c r="H2" s="2" t="s">
        <v>34</v>
      </c>
      <c r="I2" s="2" t="s">
        <v>35</v>
      </c>
      <c r="J2" s="2" t="s">
        <v>36</v>
      </c>
    </row>
    <row r="3" spans="1:10">
      <c r="A3" s="10">
        <v>46072</v>
      </c>
      <c r="B3" s="11" t="s">
        <v>25</v>
      </c>
      <c r="C3" s="11" t="s">
        <v>12</v>
      </c>
      <c r="D3" s="11" t="s">
        <v>22</v>
      </c>
      <c r="E3" s="12">
        <v>0.002</v>
      </c>
      <c r="F3" s="12">
        <v>0</v>
      </c>
      <c r="G3" s="12">
        <v>0</v>
      </c>
      <c r="H3" s="13">
        <f>IF(OR(E3&gt;0,F3&gt;0,G3&gt;0),SUM(E3:G3),"")</f>
        <v>0</v>
      </c>
      <c r="I3" s="11" t="s">
        <v>6</v>
      </c>
      <c r="J3" s="14" t="s">
        <v>37</v>
      </c>
    </row>
    <row r="4" spans="1:10">
      <c r="A4" s="10"/>
      <c r="B4" s="11"/>
      <c r="C4" s="11"/>
      <c r="D4" s="11"/>
      <c r="E4" s="12"/>
      <c r="F4" s="12"/>
      <c r="G4" s="12"/>
      <c r="H4" s="13">
        <f>IF(OR(E4&gt;0,F4&gt;0,G4&gt;0),SUM(E4:G4),"")</f>
        <v>0</v>
      </c>
      <c r="I4" s="11"/>
      <c r="J4" s="14"/>
    </row>
    <row r="5" spans="1:10">
      <c r="A5" s="10"/>
      <c r="B5" s="11"/>
      <c r="C5" s="11"/>
      <c r="D5" s="11"/>
      <c r="E5" s="12"/>
      <c r="F5" s="12"/>
      <c r="G5" s="12"/>
      <c r="H5" s="13">
        <f>IF(OR(E5&gt;0,F5&gt;0,G5&gt;0),SUM(E5:G5),"")</f>
        <v>0</v>
      </c>
      <c r="I5" s="11"/>
      <c r="J5" s="14"/>
    </row>
    <row r="6" spans="1:10">
      <c r="A6" s="10"/>
      <c r="B6" s="11"/>
      <c r="C6" s="11"/>
      <c r="D6" s="11"/>
      <c r="E6" s="12"/>
      <c r="F6" s="12"/>
      <c r="G6" s="12"/>
      <c r="H6" s="13">
        <f>IF(OR(E6&gt;0,F6&gt;0,G6&gt;0),SUM(E6:G6),"")</f>
        <v>0</v>
      </c>
      <c r="I6" s="11"/>
      <c r="J6" s="14"/>
    </row>
    <row r="7" spans="1:10">
      <c r="A7" s="10"/>
      <c r="B7" s="11"/>
      <c r="C7" s="11"/>
      <c r="D7" s="11"/>
      <c r="E7" s="12"/>
      <c r="F7" s="12"/>
      <c r="G7" s="12"/>
      <c r="H7" s="13">
        <f>IF(OR(E7&gt;0,F7&gt;0,G7&gt;0),SUM(E7:G7),"")</f>
        <v>0</v>
      </c>
      <c r="I7" s="11"/>
      <c r="J7" s="14"/>
    </row>
    <row r="8" spans="1:10">
      <c r="A8" s="10"/>
      <c r="B8" s="11"/>
      <c r="C8" s="11"/>
      <c r="D8" s="11"/>
      <c r="E8" s="12"/>
      <c r="F8" s="12"/>
      <c r="G8" s="12"/>
      <c r="H8" s="13">
        <f>IF(OR(E8&gt;0,F8&gt;0,G8&gt;0),SUM(E8:G8),"")</f>
        <v>0</v>
      </c>
      <c r="I8" s="11"/>
      <c r="J8" s="14"/>
    </row>
    <row r="9" spans="1:10">
      <c r="A9" s="10"/>
      <c r="B9" s="11"/>
      <c r="C9" s="11"/>
      <c r="D9" s="11"/>
      <c r="E9" s="12"/>
      <c r="F9" s="12"/>
      <c r="G9" s="12"/>
      <c r="H9" s="13">
        <f>IF(OR(E9&gt;0,F9&gt;0,G9&gt;0),SUM(E9:G9),"")</f>
        <v>0</v>
      </c>
      <c r="I9" s="11"/>
      <c r="J9" s="14"/>
    </row>
    <row r="10" spans="1:10">
      <c r="A10" s="10"/>
      <c r="B10" s="11"/>
      <c r="C10" s="11"/>
      <c r="D10" s="11"/>
      <c r="E10" s="12"/>
      <c r="F10" s="12"/>
      <c r="G10" s="12"/>
      <c r="H10" s="13">
        <f>IF(OR(E10&gt;0,F10&gt;0,G10&gt;0),SUM(E10:G10),"")</f>
        <v>0</v>
      </c>
      <c r="I10" s="11"/>
      <c r="J10" s="14"/>
    </row>
    <row r="11" spans="1:10">
      <c r="A11" s="10"/>
      <c r="B11" s="11"/>
      <c r="C11" s="11"/>
      <c r="D11" s="11"/>
      <c r="E11" s="12"/>
      <c r="F11" s="12"/>
      <c r="G11" s="12"/>
      <c r="H11" s="13">
        <f>IF(OR(E11&gt;0,F11&gt;0,G11&gt;0),SUM(E11:G11),"")</f>
        <v>0</v>
      </c>
      <c r="I11" s="11"/>
      <c r="J11" s="14"/>
    </row>
    <row r="12" spans="1:10">
      <c r="A12" s="10"/>
      <c r="B12" s="11"/>
      <c r="C12" s="11"/>
      <c r="D12" s="11"/>
      <c r="E12" s="12"/>
      <c r="F12" s="12"/>
      <c r="G12" s="12"/>
      <c r="H12" s="13">
        <f>IF(OR(E12&gt;0,F12&gt;0,G12&gt;0),SUM(E12:G12),"")</f>
        <v>0</v>
      </c>
      <c r="I12" s="11"/>
      <c r="J12" s="14"/>
    </row>
    <row r="13" spans="1:10">
      <c r="A13" s="10"/>
      <c r="B13" s="11"/>
      <c r="C13" s="11"/>
      <c r="D13" s="11"/>
      <c r="E13" s="12"/>
      <c r="F13" s="12"/>
      <c r="G13" s="12"/>
      <c r="H13" s="13">
        <f>IF(OR(E13&gt;0,F13&gt;0,G13&gt;0),SUM(E13:G13),"")</f>
        <v>0</v>
      </c>
      <c r="I13" s="11"/>
      <c r="J13" s="14"/>
    </row>
    <row r="14" spans="1:10">
      <c r="A14" s="10"/>
      <c r="B14" s="11"/>
      <c r="C14" s="11"/>
      <c r="D14" s="11"/>
      <c r="E14" s="12"/>
      <c r="F14" s="12"/>
      <c r="G14" s="12"/>
      <c r="H14" s="13">
        <f>IF(OR(E14&gt;0,F14&gt;0,G14&gt;0),SUM(E14:G14),"")</f>
        <v>0</v>
      </c>
      <c r="I14" s="11"/>
      <c r="J14" s="14"/>
    </row>
    <row r="15" spans="1:10">
      <c r="A15" s="10"/>
      <c r="B15" s="11"/>
      <c r="C15" s="11"/>
      <c r="D15" s="11"/>
      <c r="E15" s="12"/>
      <c r="F15" s="12"/>
      <c r="G15" s="12"/>
      <c r="H15" s="13">
        <f>IF(OR(E15&gt;0,F15&gt;0,G15&gt;0),SUM(E15:G15),"")</f>
        <v>0</v>
      </c>
      <c r="I15" s="11"/>
      <c r="J15" s="14"/>
    </row>
    <row r="16" spans="1:10">
      <c r="A16" s="10"/>
      <c r="B16" s="11"/>
      <c r="C16" s="11"/>
      <c r="D16" s="11"/>
      <c r="E16" s="12"/>
      <c r="F16" s="12"/>
      <c r="G16" s="12"/>
      <c r="H16" s="13">
        <f>IF(OR(E16&gt;0,F16&gt;0,G16&gt;0),SUM(E16:G16),"")</f>
        <v>0</v>
      </c>
      <c r="I16" s="11"/>
      <c r="J16" s="14"/>
    </row>
    <row r="17" spans="1:10">
      <c r="A17" s="10"/>
      <c r="B17" s="11"/>
      <c r="C17" s="11"/>
      <c r="D17" s="11"/>
      <c r="E17" s="12"/>
      <c r="F17" s="12"/>
      <c r="G17" s="12"/>
      <c r="H17" s="13">
        <f>IF(OR(E17&gt;0,F17&gt;0,G17&gt;0),SUM(E17:G17),"")</f>
        <v>0</v>
      </c>
      <c r="I17" s="11"/>
      <c r="J17" s="14"/>
    </row>
    <row r="18" spans="1:10">
      <c r="A18" s="10"/>
      <c r="B18" s="11"/>
      <c r="C18" s="11"/>
      <c r="D18" s="11"/>
      <c r="E18" s="12"/>
      <c r="F18" s="12"/>
      <c r="G18" s="12"/>
      <c r="H18" s="13">
        <f>IF(OR(E18&gt;0,F18&gt;0,G18&gt;0),SUM(E18:G18),"")</f>
        <v>0</v>
      </c>
      <c r="I18" s="11"/>
      <c r="J18" s="14"/>
    </row>
    <row r="19" spans="1:10">
      <c r="A19" s="10"/>
      <c r="B19" s="11"/>
      <c r="C19" s="11"/>
      <c r="D19" s="11"/>
      <c r="E19" s="12"/>
      <c r="F19" s="12"/>
      <c r="G19" s="12"/>
      <c r="H19" s="13">
        <f>IF(OR(E19&gt;0,F19&gt;0,G19&gt;0),SUM(E19:G19),"")</f>
        <v>0</v>
      </c>
      <c r="I19" s="11"/>
      <c r="J19" s="14"/>
    </row>
    <row r="20" spans="1:10">
      <c r="A20" s="10"/>
      <c r="B20" s="11"/>
      <c r="C20" s="11"/>
      <c r="D20" s="11"/>
      <c r="E20" s="12"/>
      <c r="F20" s="12"/>
      <c r="G20" s="12"/>
      <c r="H20" s="13">
        <f>IF(OR(E20&gt;0,F20&gt;0,G20&gt;0),SUM(E20:G20),"")</f>
        <v>0</v>
      </c>
      <c r="I20" s="11"/>
      <c r="J20" s="14"/>
    </row>
    <row r="21" spans="1:10">
      <c r="A21" s="10"/>
      <c r="B21" s="11"/>
      <c r="C21" s="11"/>
      <c r="D21" s="11"/>
      <c r="E21" s="12"/>
      <c r="F21" s="12"/>
      <c r="G21" s="12"/>
      <c r="H21" s="13">
        <f>IF(OR(E21&gt;0,F21&gt;0,G21&gt;0),SUM(E21:G21),"")</f>
        <v>0</v>
      </c>
      <c r="I21" s="11"/>
      <c r="J21" s="14"/>
    </row>
    <row r="22" spans="1:10">
      <c r="A22" s="10"/>
      <c r="B22" s="11"/>
      <c r="C22" s="11"/>
      <c r="D22" s="11"/>
      <c r="E22" s="12"/>
      <c r="F22" s="12"/>
      <c r="G22" s="12"/>
      <c r="H22" s="13">
        <f>IF(OR(E22&gt;0,F22&gt;0,G22&gt;0),SUM(E22:G22),"")</f>
        <v>0</v>
      </c>
      <c r="I22" s="11"/>
      <c r="J22" s="14"/>
    </row>
    <row r="23" spans="1:10">
      <c r="A23" s="10"/>
      <c r="B23" s="11"/>
      <c r="C23" s="11"/>
      <c r="D23" s="11"/>
      <c r="E23" s="12"/>
      <c r="F23" s="12"/>
      <c r="G23" s="12"/>
      <c r="H23" s="13">
        <f>IF(OR(E23&gt;0,F23&gt;0,G23&gt;0),SUM(E23:G23),"")</f>
        <v>0</v>
      </c>
      <c r="I23" s="11"/>
      <c r="J23" s="14"/>
    </row>
    <row r="24" spans="1:10">
      <c r="A24" s="10"/>
      <c r="B24" s="11"/>
      <c r="C24" s="11"/>
      <c r="D24" s="11"/>
      <c r="E24" s="12"/>
      <c r="F24" s="12"/>
      <c r="G24" s="12"/>
      <c r="H24" s="13">
        <f>IF(OR(E24&gt;0,F24&gt;0,G24&gt;0),SUM(E24:G24),"")</f>
        <v>0</v>
      </c>
      <c r="I24" s="11"/>
      <c r="J24" s="14"/>
    </row>
    <row r="25" spans="1:10">
      <c r="A25" s="10"/>
      <c r="B25" s="11"/>
      <c r="C25" s="11"/>
      <c r="D25" s="11"/>
      <c r="E25" s="12"/>
      <c r="F25" s="12"/>
      <c r="G25" s="12"/>
      <c r="H25" s="13">
        <f>IF(OR(E25&gt;0,F25&gt;0,G25&gt;0),SUM(E25:G25),"")</f>
        <v>0</v>
      </c>
      <c r="I25" s="11"/>
      <c r="J25" s="14"/>
    </row>
    <row r="26" spans="1:10">
      <c r="A26" s="10"/>
      <c r="B26" s="11"/>
      <c r="C26" s="11"/>
      <c r="D26" s="11"/>
      <c r="E26" s="12"/>
      <c r="F26" s="12"/>
      <c r="G26" s="12"/>
      <c r="H26" s="13">
        <f>IF(OR(E26&gt;0,F26&gt;0,G26&gt;0),SUM(E26:G26),"")</f>
        <v>0</v>
      </c>
      <c r="I26" s="11"/>
      <c r="J26" s="14"/>
    </row>
    <row r="27" spans="1:10">
      <c r="A27" s="10"/>
      <c r="B27" s="11"/>
      <c r="C27" s="11"/>
      <c r="D27" s="11"/>
      <c r="E27" s="12"/>
      <c r="F27" s="12"/>
      <c r="G27" s="12"/>
      <c r="H27" s="13">
        <f>IF(OR(E27&gt;0,F27&gt;0,G27&gt;0),SUM(E27:G27),"")</f>
        <v>0</v>
      </c>
      <c r="I27" s="11"/>
      <c r="J27" s="14"/>
    </row>
    <row r="28" spans="1:10">
      <c r="A28" s="10"/>
      <c r="B28" s="11"/>
      <c r="C28" s="11"/>
      <c r="D28" s="11"/>
      <c r="E28" s="12"/>
      <c r="F28" s="12"/>
      <c r="G28" s="12"/>
      <c r="H28" s="13">
        <f>IF(OR(E28&gt;0,F28&gt;0,G28&gt;0),SUM(E28:G28),"")</f>
        <v>0</v>
      </c>
      <c r="I28" s="11"/>
      <c r="J28" s="14"/>
    </row>
    <row r="29" spans="1:10">
      <c r="A29" s="10"/>
      <c r="B29" s="11"/>
      <c r="C29" s="11"/>
      <c r="D29" s="11"/>
      <c r="E29" s="12"/>
      <c r="F29" s="12"/>
      <c r="G29" s="12"/>
      <c r="H29" s="13">
        <f>IF(OR(E29&gt;0,F29&gt;0,G29&gt;0),SUM(E29:G29),"")</f>
        <v>0</v>
      </c>
      <c r="I29" s="11"/>
      <c r="J29" s="14"/>
    </row>
    <row r="30" spans="1:10">
      <c r="A30" s="10"/>
      <c r="B30" s="11"/>
      <c r="C30" s="11"/>
      <c r="D30" s="11"/>
      <c r="E30" s="12"/>
      <c r="F30" s="12"/>
      <c r="G30" s="12"/>
      <c r="H30" s="13">
        <f>IF(OR(E30&gt;0,F30&gt;0,G30&gt;0),SUM(E30:G30),"")</f>
        <v>0</v>
      </c>
      <c r="I30" s="11"/>
      <c r="J30" s="14"/>
    </row>
    <row r="31" spans="1:10">
      <c r="A31" s="10"/>
      <c r="B31" s="11"/>
      <c r="C31" s="11"/>
      <c r="D31" s="11"/>
      <c r="E31" s="12"/>
      <c r="F31" s="12"/>
      <c r="G31" s="12"/>
      <c r="H31" s="13">
        <f>IF(OR(E31&gt;0,F31&gt;0,G31&gt;0),SUM(E31:G31),"")</f>
        <v>0</v>
      </c>
      <c r="I31" s="11"/>
      <c r="J31" s="14"/>
    </row>
    <row r="32" spans="1:10">
      <c r="A32" s="10"/>
      <c r="B32" s="11"/>
      <c r="C32" s="11"/>
      <c r="D32" s="11"/>
      <c r="E32" s="12"/>
      <c r="F32" s="12"/>
      <c r="G32" s="12"/>
      <c r="H32" s="13">
        <f>IF(OR(E32&gt;0,F32&gt;0,G32&gt;0),SUM(E32:G32),"")</f>
        <v>0</v>
      </c>
      <c r="I32" s="11"/>
      <c r="J32" s="14"/>
    </row>
    <row r="33" spans="1:10">
      <c r="A33" s="10"/>
      <c r="B33" s="11"/>
      <c r="C33" s="11"/>
      <c r="D33" s="11"/>
      <c r="E33" s="12"/>
      <c r="F33" s="12"/>
      <c r="G33" s="12"/>
      <c r="H33" s="13">
        <f>IF(OR(E33&gt;0,F33&gt;0,G33&gt;0),SUM(E33:G33),"")</f>
        <v>0</v>
      </c>
      <c r="I33" s="11"/>
      <c r="J33" s="14"/>
    </row>
    <row r="34" spans="1:10">
      <c r="A34" s="10"/>
      <c r="B34" s="11"/>
      <c r="C34" s="11"/>
      <c r="D34" s="11"/>
      <c r="E34" s="12"/>
      <c r="F34" s="12"/>
      <c r="G34" s="12"/>
      <c r="H34" s="13">
        <f>IF(OR(E34&gt;0,F34&gt;0,G34&gt;0),SUM(E34:G34),"")</f>
        <v>0</v>
      </c>
      <c r="I34" s="11"/>
      <c r="J34" s="14"/>
    </row>
    <row r="35" spans="1:10">
      <c r="A35" s="10"/>
      <c r="B35" s="11"/>
      <c r="C35" s="11"/>
      <c r="D35" s="11"/>
      <c r="E35" s="12"/>
      <c r="F35" s="12"/>
      <c r="G35" s="12"/>
      <c r="H35" s="13">
        <f>IF(OR(E35&gt;0,F35&gt;0,G35&gt;0),SUM(E35:G35),"")</f>
        <v>0</v>
      </c>
      <c r="I35" s="11"/>
      <c r="J35" s="14"/>
    </row>
    <row r="36" spans="1:10">
      <c r="A36" s="10"/>
      <c r="B36" s="11"/>
      <c r="C36" s="11"/>
      <c r="D36" s="11"/>
      <c r="E36" s="12"/>
      <c r="F36" s="12"/>
      <c r="G36" s="12"/>
      <c r="H36" s="13">
        <f>IF(OR(E36&gt;0,F36&gt;0,G36&gt;0),SUM(E36:G36),"")</f>
        <v>0</v>
      </c>
      <c r="I36" s="11"/>
      <c r="J36" s="14"/>
    </row>
    <row r="37" spans="1:10">
      <c r="A37" s="10"/>
      <c r="B37" s="11"/>
      <c r="C37" s="11"/>
      <c r="D37" s="11"/>
      <c r="E37" s="12"/>
      <c r="F37" s="12"/>
      <c r="G37" s="12"/>
      <c r="H37" s="13">
        <f>IF(OR(E37&gt;0,F37&gt;0,G37&gt;0),SUM(E37:G37),"")</f>
        <v>0</v>
      </c>
      <c r="I37" s="11"/>
      <c r="J37" s="14"/>
    </row>
    <row r="38" spans="1:10">
      <c r="A38" s="10"/>
      <c r="B38" s="11"/>
      <c r="C38" s="11"/>
      <c r="D38" s="11"/>
      <c r="E38" s="12"/>
      <c r="F38" s="12"/>
      <c r="G38" s="12"/>
      <c r="H38" s="13">
        <f>IF(OR(E38&gt;0,F38&gt;0,G38&gt;0),SUM(E38:G38),"")</f>
        <v>0</v>
      </c>
      <c r="I38" s="11"/>
      <c r="J38" s="14"/>
    </row>
    <row r="39" spans="1:10">
      <c r="A39" s="10"/>
      <c r="B39" s="11"/>
      <c r="C39" s="11"/>
      <c r="D39" s="11"/>
      <c r="E39" s="12"/>
      <c r="F39" s="12"/>
      <c r="G39" s="12"/>
      <c r="H39" s="13">
        <f>IF(OR(E39&gt;0,F39&gt;0,G39&gt;0),SUM(E39:G39),"")</f>
        <v>0</v>
      </c>
      <c r="I39" s="11"/>
      <c r="J39" s="14"/>
    </row>
    <row r="40" spans="1:10">
      <c r="A40" s="10"/>
      <c r="B40" s="11"/>
      <c r="C40" s="11"/>
      <c r="D40" s="11"/>
      <c r="E40" s="12"/>
      <c r="F40" s="12"/>
      <c r="G40" s="12"/>
      <c r="H40" s="13">
        <f>IF(OR(E40&gt;0,F40&gt;0,G40&gt;0),SUM(E40:G40),"")</f>
        <v>0</v>
      </c>
      <c r="I40" s="11"/>
      <c r="J40" s="14"/>
    </row>
    <row r="41" spans="1:10">
      <c r="A41" s="10"/>
      <c r="B41" s="11"/>
      <c r="C41" s="11"/>
      <c r="D41" s="11"/>
      <c r="E41" s="12"/>
      <c r="F41" s="12"/>
      <c r="G41" s="12"/>
      <c r="H41" s="13">
        <f>IF(OR(E41&gt;0,F41&gt;0,G41&gt;0),SUM(E41:G41),"")</f>
        <v>0</v>
      </c>
      <c r="I41" s="11"/>
      <c r="J41" s="14"/>
    </row>
    <row r="42" spans="1:10">
      <c r="A42" s="10"/>
      <c r="B42" s="11"/>
      <c r="C42" s="11"/>
      <c r="D42" s="11"/>
      <c r="E42" s="12"/>
      <c r="F42" s="12"/>
      <c r="G42" s="12"/>
      <c r="H42" s="13">
        <f>IF(OR(E42&gt;0,F42&gt;0,G42&gt;0),SUM(E42:G42),"")</f>
        <v>0</v>
      </c>
      <c r="I42" s="11"/>
      <c r="J42" s="14"/>
    </row>
    <row r="43" spans="1:10">
      <c r="A43" s="10"/>
      <c r="B43" s="11"/>
      <c r="C43" s="11"/>
      <c r="D43" s="11"/>
      <c r="E43" s="12"/>
      <c r="F43" s="12"/>
      <c r="G43" s="12"/>
      <c r="H43" s="13">
        <f>IF(OR(E43&gt;0,F43&gt;0,G43&gt;0),SUM(E43:G43),"")</f>
        <v>0</v>
      </c>
      <c r="I43" s="11"/>
      <c r="J43" s="14"/>
    </row>
    <row r="44" spans="1:10">
      <c r="A44" s="10"/>
      <c r="B44" s="11"/>
      <c r="C44" s="11"/>
      <c r="D44" s="11"/>
      <c r="E44" s="12"/>
      <c r="F44" s="12"/>
      <c r="G44" s="12"/>
      <c r="H44" s="13">
        <f>IF(OR(E44&gt;0,F44&gt;0,G44&gt;0),SUM(E44:G44),"")</f>
        <v>0</v>
      </c>
      <c r="I44" s="11"/>
      <c r="J44" s="14"/>
    </row>
    <row r="45" spans="1:10">
      <c r="A45" s="10"/>
      <c r="B45" s="11"/>
      <c r="C45" s="11"/>
      <c r="D45" s="11"/>
      <c r="E45" s="12"/>
      <c r="F45" s="12"/>
      <c r="G45" s="12"/>
      <c r="H45" s="13">
        <f>IF(OR(E45&gt;0,F45&gt;0,G45&gt;0),SUM(E45:G45),"")</f>
        <v>0</v>
      </c>
      <c r="I45" s="11"/>
      <c r="J45" s="14"/>
    </row>
    <row r="46" spans="1:10">
      <c r="A46" s="10"/>
      <c r="B46" s="11"/>
      <c r="C46" s="11"/>
      <c r="D46" s="11"/>
      <c r="E46" s="12"/>
      <c r="F46" s="12"/>
      <c r="G46" s="12"/>
      <c r="H46" s="13">
        <f>IF(OR(E46&gt;0,F46&gt;0,G46&gt;0),SUM(E46:G46),"")</f>
        <v>0</v>
      </c>
      <c r="I46" s="11"/>
      <c r="J46" s="14"/>
    </row>
    <row r="47" spans="1:10">
      <c r="A47" s="10"/>
      <c r="B47" s="11"/>
      <c r="C47" s="11"/>
      <c r="D47" s="11"/>
      <c r="E47" s="12"/>
      <c r="F47" s="12"/>
      <c r="G47" s="12"/>
      <c r="H47" s="13">
        <f>IF(OR(E47&gt;0,F47&gt;0,G47&gt;0),SUM(E47:G47),"")</f>
        <v>0</v>
      </c>
      <c r="I47" s="11"/>
      <c r="J47" s="14"/>
    </row>
    <row r="48" spans="1:10">
      <c r="A48" s="10"/>
      <c r="B48" s="11"/>
      <c r="C48" s="11"/>
      <c r="D48" s="11"/>
      <c r="E48" s="12"/>
      <c r="F48" s="12"/>
      <c r="G48" s="12"/>
      <c r="H48" s="13">
        <f>IF(OR(E48&gt;0,F48&gt;0,G48&gt;0),SUM(E48:G48),"")</f>
        <v>0</v>
      </c>
      <c r="I48" s="11"/>
      <c r="J48" s="14"/>
    </row>
    <row r="49" spans="1:10">
      <c r="A49" s="10"/>
      <c r="B49" s="11"/>
      <c r="C49" s="11"/>
      <c r="D49" s="11"/>
      <c r="E49" s="12"/>
      <c r="F49" s="12"/>
      <c r="G49" s="12"/>
      <c r="H49" s="13">
        <f>IF(OR(E49&gt;0,F49&gt;0,G49&gt;0),SUM(E49:G49),"")</f>
        <v>0</v>
      </c>
      <c r="I49" s="11"/>
      <c r="J49" s="14"/>
    </row>
    <row r="50" spans="1:10">
      <c r="A50" s="10"/>
      <c r="B50" s="11"/>
      <c r="C50" s="11"/>
      <c r="D50" s="11"/>
      <c r="E50" s="12"/>
      <c r="F50" s="12"/>
      <c r="G50" s="12"/>
      <c r="H50" s="13">
        <f>IF(OR(E50&gt;0,F50&gt;0,G50&gt;0),SUM(E50:G50),"")</f>
        <v>0</v>
      </c>
      <c r="I50" s="11"/>
      <c r="J50" s="14"/>
    </row>
    <row r="51" spans="1:10">
      <c r="A51" s="10"/>
      <c r="B51" s="11"/>
      <c r="C51" s="11"/>
      <c r="D51" s="11"/>
      <c r="E51" s="12"/>
      <c r="F51" s="12"/>
      <c r="G51" s="12"/>
      <c r="H51" s="13">
        <f>IF(OR(E51&gt;0,F51&gt;0,G51&gt;0),SUM(E51:G51),"")</f>
        <v>0</v>
      </c>
      <c r="I51" s="11"/>
      <c r="J51" s="14"/>
    </row>
    <row r="52" spans="1:10">
      <c r="A52" s="10"/>
      <c r="B52" s="11"/>
      <c r="C52" s="11"/>
      <c r="D52" s="11"/>
      <c r="E52" s="12"/>
      <c r="F52" s="12"/>
      <c r="G52" s="12"/>
      <c r="H52" s="13">
        <f>IF(OR(E52&gt;0,F52&gt;0,G52&gt;0),SUM(E52:G52),"")</f>
        <v>0</v>
      </c>
      <c r="I52" s="11"/>
      <c r="J52" s="14"/>
    </row>
    <row r="53" spans="1:10">
      <c r="A53" s="10"/>
      <c r="B53" s="11"/>
      <c r="C53" s="11"/>
      <c r="D53" s="11"/>
      <c r="E53" s="12"/>
      <c r="F53" s="12"/>
      <c r="G53" s="12"/>
      <c r="H53" s="13">
        <f>IF(OR(E53&gt;0,F53&gt;0,G53&gt;0),SUM(E53:G53),"")</f>
        <v>0</v>
      </c>
      <c r="I53" s="11"/>
      <c r="J53" s="14"/>
    </row>
    <row r="54" spans="1:10">
      <c r="A54" s="10"/>
      <c r="B54" s="11"/>
      <c r="C54" s="11"/>
      <c r="D54" s="11"/>
      <c r="E54" s="12"/>
      <c r="F54" s="12"/>
      <c r="G54" s="12"/>
      <c r="H54" s="13">
        <f>IF(OR(E54&gt;0,F54&gt;0,G54&gt;0),SUM(E54:G54),"")</f>
        <v>0</v>
      </c>
      <c r="I54" s="11"/>
      <c r="J54" s="14"/>
    </row>
    <row r="55" spans="1:10">
      <c r="A55" s="10"/>
      <c r="B55" s="11"/>
      <c r="C55" s="11"/>
      <c r="D55" s="11"/>
      <c r="E55" s="12"/>
      <c r="F55" s="12"/>
      <c r="G55" s="12"/>
      <c r="H55" s="13">
        <f>IF(OR(E55&gt;0,F55&gt;0,G55&gt;0),SUM(E55:G55),"")</f>
        <v>0</v>
      </c>
      <c r="I55" s="11"/>
      <c r="J55" s="14"/>
    </row>
    <row r="56" spans="1:10">
      <c r="A56" s="10"/>
      <c r="B56" s="11"/>
      <c r="C56" s="11"/>
      <c r="D56" s="11"/>
      <c r="E56" s="12"/>
      <c r="F56" s="12"/>
      <c r="G56" s="12"/>
      <c r="H56" s="13">
        <f>IF(OR(E56&gt;0,F56&gt;0,G56&gt;0),SUM(E56:G56),"")</f>
        <v>0</v>
      </c>
      <c r="I56" s="11"/>
      <c r="J56" s="14"/>
    </row>
    <row r="57" spans="1:10">
      <c r="A57" s="10"/>
      <c r="B57" s="11"/>
      <c r="C57" s="11"/>
      <c r="D57" s="11"/>
      <c r="E57" s="12"/>
      <c r="F57" s="12"/>
      <c r="G57" s="12"/>
      <c r="H57" s="13">
        <f>IF(OR(E57&gt;0,F57&gt;0,G57&gt;0),SUM(E57:G57),"")</f>
        <v>0</v>
      </c>
      <c r="I57" s="11"/>
      <c r="J57" s="14"/>
    </row>
    <row r="58" spans="1:10">
      <c r="A58" s="10"/>
      <c r="B58" s="11"/>
      <c r="C58" s="11"/>
      <c r="D58" s="11"/>
      <c r="E58" s="12"/>
      <c r="F58" s="12"/>
      <c r="G58" s="12"/>
      <c r="H58" s="13">
        <f>IF(OR(E58&gt;0,F58&gt;0,G58&gt;0),SUM(E58:G58),"")</f>
        <v>0</v>
      </c>
      <c r="I58" s="11"/>
      <c r="J58" s="14"/>
    </row>
    <row r="59" spans="1:10">
      <c r="A59" s="10"/>
      <c r="B59" s="11"/>
      <c r="C59" s="11"/>
      <c r="D59" s="11"/>
      <c r="E59" s="12"/>
      <c r="F59" s="12"/>
      <c r="G59" s="12"/>
      <c r="H59" s="13">
        <f>IF(OR(E59&gt;0,F59&gt;0,G59&gt;0),SUM(E59:G59),"")</f>
        <v>0</v>
      </c>
      <c r="I59" s="11"/>
      <c r="J59" s="14"/>
    </row>
    <row r="60" spans="1:10">
      <c r="A60" s="10"/>
      <c r="B60" s="11"/>
      <c r="C60" s="11"/>
      <c r="D60" s="11"/>
      <c r="E60" s="12"/>
      <c r="F60" s="12"/>
      <c r="G60" s="12"/>
      <c r="H60" s="13">
        <f>IF(OR(E60&gt;0,F60&gt;0,G60&gt;0),SUM(E60:G60),"")</f>
        <v>0</v>
      </c>
      <c r="I60" s="11"/>
      <c r="J60" s="14"/>
    </row>
    <row r="61" spans="1:10">
      <c r="A61" s="10"/>
      <c r="B61" s="11"/>
      <c r="C61" s="11"/>
      <c r="D61" s="11"/>
      <c r="E61" s="12"/>
      <c r="F61" s="12"/>
      <c r="G61" s="12"/>
      <c r="H61" s="13">
        <f>IF(OR(E61&gt;0,F61&gt;0,G61&gt;0),SUM(E61:G61),"")</f>
        <v>0</v>
      </c>
      <c r="I61" s="11"/>
      <c r="J61" s="14"/>
    </row>
    <row r="62" spans="1:10">
      <c r="A62" s="10"/>
      <c r="B62" s="11"/>
      <c r="C62" s="11"/>
      <c r="D62" s="11"/>
      <c r="E62" s="12"/>
      <c r="F62" s="12"/>
      <c r="G62" s="12"/>
      <c r="H62" s="13">
        <f>IF(OR(E62&gt;0,F62&gt;0,G62&gt;0),SUM(E62:G62),"")</f>
        <v>0</v>
      </c>
      <c r="I62" s="11"/>
      <c r="J62" s="14"/>
    </row>
    <row r="63" spans="1:10">
      <c r="A63" s="10"/>
      <c r="B63" s="11"/>
      <c r="C63" s="11"/>
      <c r="D63" s="11"/>
      <c r="E63" s="12"/>
      <c r="F63" s="12"/>
      <c r="G63" s="12"/>
      <c r="H63" s="13">
        <f>IF(OR(E63&gt;0,F63&gt;0,G63&gt;0),SUM(E63:G63),"")</f>
        <v>0</v>
      </c>
      <c r="I63" s="11"/>
      <c r="J63" s="14"/>
    </row>
    <row r="64" spans="1:10">
      <c r="A64" s="10"/>
      <c r="B64" s="11"/>
      <c r="C64" s="11"/>
      <c r="D64" s="11"/>
      <c r="E64" s="12"/>
      <c r="F64" s="12"/>
      <c r="G64" s="12"/>
      <c r="H64" s="13">
        <f>IF(OR(E64&gt;0,F64&gt;0,G64&gt;0),SUM(E64:G64),"")</f>
        <v>0</v>
      </c>
      <c r="I64" s="11"/>
      <c r="J64" s="14"/>
    </row>
    <row r="65" spans="1:10">
      <c r="A65" s="10"/>
      <c r="B65" s="11"/>
      <c r="C65" s="11"/>
      <c r="D65" s="11"/>
      <c r="E65" s="12"/>
      <c r="F65" s="12"/>
      <c r="G65" s="12"/>
      <c r="H65" s="13">
        <f>IF(OR(E65&gt;0,F65&gt;0,G65&gt;0),SUM(E65:G65),"")</f>
        <v>0</v>
      </c>
      <c r="I65" s="11"/>
      <c r="J65" s="14"/>
    </row>
    <row r="66" spans="1:10">
      <c r="A66" s="10"/>
      <c r="B66" s="11"/>
      <c r="C66" s="11"/>
      <c r="D66" s="11"/>
      <c r="E66" s="12"/>
      <c r="F66" s="12"/>
      <c r="G66" s="12"/>
      <c r="H66" s="13">
        <f>IF(OR(E66&gt;0,F66&gt;0,G66&gt;0),SUM(E66:G66),"")</f>
        <v>0</v>
      </c>
      <c r="I66" s="11"/>
      <c r="J66" s="14"/>
    </row>
    <row r="67" spans="1:10">
      <c r="A67" s="10"/>
      <c r="B67" s="11"/>
      <c r="C67" s="11"/>
      <c r="D67" s="11"/>
      <c r="E67" s="12"/>
      <c r="F67" s="12"/>
      <c r="G67" s="12"/>
      <c r="H67" s="13">
        <f>IF(OR(E67&gt;0,F67&gt;0,G67&gt;0),SUM(E67:G67),"")</f>
        <v>0</v>
      </c>
      <c r="I67" s="11"/>
      <c r="J67" s="14"/>
    </row>
    <row r="68" spans="1:10">
      <c r="A68" s="10"/>
      <c r="B68" s="11"/>
      <c r="C68" s="11"/>
      <c r="D68" s="11"/>
      <c r="E68" s="12"/>
      <c r="F68" s="12"/>
      <c r="G68" s="12"/>
      <c r="H68" s="13">
        <f>IF(OR(E68&gt;0,F68&gt;0,G68&gt;0),SUM(E68:G68),"")</f>
        <v>0</v>
      </c>
      <c r="I68" s="11"/>
      <c r="J68" s="14"/>
    </row>
    <row r="69" spans="1:10">
      <c r="A69" s="10"/>
      <c r="B69" s="11"/>
      <c r="C69" s="11"/>
      <c r="D69" s="11"/>
      <c r="E69" s="12"/>
      <c r="F69" s="12"/>
      <c r="G69" s="12"/>
      <c r="H69" s="13">
        <f>IF(OR(E69&gt;0,F69&gt;0,G69&gt;0),SUM(E69:G69),"")</f>
        <v>0</v>
      </c>
      <c r="I69" s="11"/>
      <c r="J69" s="14"/>
    </row>
    <row r="70" spans="1:10">
      <c r="A70" s="10"/>
      <c r="B70" s="11"/>
      <c r="C70" s="11"/>
      <c r="D70" s="11"/>
      <c r="E70" s="12"/>
      <c r="F70" s="12"/>
      <c r="G70" s="12"/>
      <c r="H70" s="13">
        <f>IF(OR(E70&gt;0,F70&gt;0,G70&gt;0),SUM(E70:G70),"")</f>
        <v>0</v>
      </c>
      <c r="I70" s="11"/>
      <c r="J70" s="14"/>
    </row>
    <row r="71" spans="1:10">
      <c r="A71" s="10"/>
      <c r="B71" s="11"/>
      <c r="C71" s="11"/>
      <c r="D71" s="11"/>
      <c r="E71" s="12"/>
      <c r="F71" s="12"/>
      <c r="G71" s="12"/>
      <c r="H71" s="13">
        <f>IF(OR(E71&gt;0,F71&gt;0,G71&gt;0),SUM(E71:G71),"")</f>
        <v>0</v>
      </c>
      <c r="I71" s="11"/>
      <c r="J71" s="14"/>
    </row>
    <row r="72" spans="1:10">
      <c r="A72" s="10"/>
      <c r="B72" s="11"/>
      <c r="C72" s="11"/>
      <c r="D72" s="11"/>
      <c r="E72" s="12"/>
      <c r="F72" s="12"/>
      <c r="G72" s="12"/>
      <c r="H72" s="13">
        <f>IF(OR(E72&gt;0,F72&gt;0,G72&gt;0),SUM(E72:G72),"")</f>
        <v>0</v>
      </c>
      <c r="I72" s="11"/>
      <c r="J72" s="14"/>
    </row>
    <row r="73" spans="1:10">
      <c r="A73" s="10"/>
      <c r="B73" s="11"/>
      <c r="C73" s="11"/>
      <c r="D73" s="11"/>
      <c r="E73" s="12"/>
      <c r="F73" s="12"/>
      <c r="G73" s="12"/>
      <c r="H73" s="13">
        <f>IF(OR(E73&gt;0,F73&gt;0,G73&gt;0),SUM(E73:G73),"")</f>
        <v>0</v>
      </c>
      <c r="I73" s="11"/>
      <c r="J73" s="14"/>
    </row>
    <row r="74" spans="1:10">
      <c r="A74" s="10"/>
      <c r="B74" s="11"/>
      <c r="C74" s="11"/>
      <c r="D74" s="11"/>
      <c r="E74" s="12"/>
      <c r="F74" s="12"/>
      <c r="G74" s="12"/>
      <c r="H74" s="13">
        <f>IF(OR(E74&gt;0,F74&gt;0,G74&gt;0),SUM(E74:G74),"")</f>
        <v>0</v>
      </c>
      <c r="I74" s="11"/>
      <c r="J74" s="14"/>
    </row>
    <row r="75" spans="1:10">
      <c r="A75" s="10"/>
      <c r="B75" s="11"/>
      <c r="C75" s="11"/>
      <c r="D75" s="11"/>
      <c r="E75" s="12"/>
      <c r="F75" s="12"/>
      <c r="G75" s="12"/>
      <c r="H75" s="13">
        <f>IF(OR(E75&gt;0,F75&gt;0,G75&gt;0),SUM(E75:G75),"")</f>
        <v>0</v>
      </c>
      <c r="I75" s="11"/>
      <c r="J75" s="14"/>
    </row>
    <row r="76" spans="1:10">
      <c r="A76" s="10"/>
      <c r="B76" s="11"/>
      <c r="C76" s="11"/>
      <c r="D76" s="11"/>
      <c r="E76" s="12"/>
      <c r="F76" s="12"/>
      <c r="G76" s="12"/>
      <c r="H76" s="13">
        <f>IF(OR(E76&gt;0,F76&gt;0,G76&gt;0),SUM(E76:G76),"")</f>
        <v>0</v>
      </c>
      <c r="I76" s="11"/>
      <c r="J76" s="14"/>
    </row>
    <row r="77" spans="1:10">
      <c r="A77" s="10"/>
      <c r="B77" s="11"/>
      <c r="C77" s="11"/>
      <c r="D77" s="11"/>
      <c r="E77" s="12"/>
      <c r="F77" s="12"/>
      <c r="G77" s="12"/>
      <c r="H77" s="13">
        <f>IF(OR(E77&gt;0,F77&gt;0,G77&gt;0),SUM(E77:G77),"")</f>
        <v>0</v>
      </c>
      <c r="I77" s="11"/>
      <c r="J77" s="14"/>
    </row>
    <row r="78" spans="1:10">
      <c r="A78" s="10"/>
      <c r="B78" s="11"/>
      <c r="C78" s="11"/>
      <c r="D78" s="11"/>
      <c r="E78" s="12"/>
      <c r="F78" s="12"/>
      <c r="G78" s="12"/>
      <c r="H78" s="13">
        <f>IF(OR(E78&gt;0,F78&gt;0,G78&gt;0),SUM(E78:G78),"")</f>
        <v>0</v>
      </c>
      <c r="I78" s="11"/>
      <c r="J78" s="14"/>
    </row>
    <row r="79" spans="1:10">
      <c r="A79" s="10"/>
      <c r="B79" s="11"/>
      <c r="C79" s="11"/>
      <c r="D79" s="11"/>
      <c r="E79" s="12"/>
      <c r="F79" s="12"/>
      <c r="G79" s="12"/>
      <c r="H79" s="13">
        <f>IF(OR(E79&gt;0,F79&gt;0,G79&gt;0),SUM(E79:G79),"")</f>
        <v>0</v>
      </c>
      <c r="I79" s="11"/>
      <c r="J79" s="14"/>
    </row>
    <row r="80" spans="1:10">
      <c r="A80" s="10"/>
      <c r="B80" s="11"/>
      <c r="C80" s="11"/>
      <c r="D80" s="11"/>
      <c r="E80" s="12"/>
      <c r="F80" s="12"/>
      <c r="G80" s="12"/>
      <c r="H80" s="13">
        <f>IF(OR(E80&gt;0,F80&gt;0,G80&gt;0),SUM(E80:G80),"")</f>
        <v>0</v>
      </c>
      <c r="I80" s="11"/>
      <c r="J80" s="14"/>
    </row>
    <row r="81" spans="1:10">
      <c r="A81" s="10"/>
      <c r="B81" s="11"/>
      <c r="C81" s="11"/>
      <c r="D81" s="11"/>
      <c r="E81" s="12"/>
      <c r="F81" s="12"/>
      <c r="G81" s="12"/>
      <c r="H81" s="13">
        <f>IF(OR(E81&gt;0,F81&gt;0,G81&gt;0),SUM(E81:G81),"")</f>
        <v>0</v>
      </c>
      <c r="I81" s="11"/>
      <c r="J81" s="14"/>
    </row>
    <row r="82" spans="1:10">
      <c r="A82" s="10"/>
      <c r="B82" s="11"/>
      <c r="C82" s="11"/>
      <c r="D82" s="11"/>
      <c r="E82" s="12"/>
      <c r="F82" s="12"/>
      <c r="G82" s="12"/>
      <c r="H82" s="13">
        <f>IF(OR(E82&gt;0,F82&gt;0,G82&gt;0),SUM(E82:G82),"")</f>
        <v>0</v>
      </c>
      <c r="I82" s="11"/>
      <c r="J82" s="14"/>
    </row>
    <row r="83" spans="1:10">
      <c r="A83" s="10"/>
      <c r="B83" s="11"/>
      <c r="C83" s="11"/>
      <c r="D83" s="11"/>
      <c r="E83" s="12"/>
      <c r="F83" s="12"/>
      <c r="G83" s="12"/>
      <c r="H83" s="13">
        <f>IF(OR(E83&gt;0,F83&gt;0,G83&gt;0),SUM(E83:G83),"")</f>
        <v>0</v>
      </c>
      <c r="I83" s="11"/>
      <c r="J83" s="14"/>
    </row>
    <row r="84" spans="1:10">
      <c r="A84" s="10"/>
      <c r="B84" s="11"/>
      <c r="C84" s="11"/>
      <c r="D84" s="11"/>
      <c r="E84" s="12"/>
      <c r="F84" s="12"/>
      <c r="G84" s="12"/>
      <c r="H84" s="13">
        <f>IF(OR(E84&gt;0,F84&gt;0,G84&gt;0),SUM(E84:G84),"")</f>
        <v>0</v>
      </c>
      <c r="I84" s="11"/>
      <c r="J84" s="14"/>
    </row>
    <row r="85" spans="1:10">
      <c r="A85" s="10"/>
      <c r="B85" s="11"/>
      <c r="C85" s="11"/>
      <c r="D85" s="11"/>
      <c r="E85" s="12"/>
      <c r="F85" s="12"/>
      <c r="G85" s="12"/>
      <c r="H85" s="13">
        <f>IF(OR(E85&gt;0,F85&gt;0,G85&gt;0),SUM(E85:G85),"")</f>
        <v>0</v>
      </c>
      <c r="I85" s="11"/>
      <c r="J85" s="14"/>
    </row>
    <row r="86" spans="1:10">
      <c r="A86" s="10"/>
      <c r="B86" s="11"/>
      <c r="C86" s="11"/>
      <c r="D86" s="11"/>
      <c r="E86" s="12"/>
      <c r="F86" s="12"/>
      <c r="G86" s="12"/>
      <c r="H86" s="13">
        <f>IF(OR(E86&gt;0,F86&gt;0,G86&gt;0),SUM(E86:G86),"")</f>
        <v>0</v>
      </c>
      <c r="I86" s="11"/>
      <c r="J86" s="14"/>
    </row>
    <row r="87" spans="1:10">
      <c r="A87" s="10"/>
      <c r="B87" s="11"/>
      <c r="C87" s="11"/>
      <c r="D87" s="11"/>
      <c r="E87" s="12"/>
      <c r="F87" s="12"/>
      <c r="G87" s="12"/>
      <c r="H87" s="13">
        <f>IF(OR(E87&gt;0,F87&gt;0,G87&gt;0),SUM(E87:G87),"")</f>
        <v>0</v>
      </c>
      <c r="I87" s="11"/>
      <c r="J87" s="14"/>
    </row>
    <row r="88" spans="1:10">
      <c r="A88" s="10"/>
      <c r="B88" s="11"/>
      <c r="C88" s="11"/>
      <c r="D88" s="11"/>
      <c r="E88" s="12"/>
      <c r="F88" s="12"/>
      <c r="G88" s="12"/>
      <c r="H88" s="13">
        <f>IF(OR(E88&gt;0,F88&gt;0,G88&gt;0),SUM(E88:G88),"")</f>
        <v>0</v>
      </c>
      <c r="I88" s="11"/>
      <c r="J88" s="14"/>
    </row>
    <row r="89" spans="1:10">
      <c r="A89" s="10"/>
      <c r="B89" s="11"/>
      <c r="C89" s="11"/>
      <c r="D89" s="11"/>
      <c r="E89" s="12"/>
      <c r="F89" s="12"/>
      <c r="G89" s="12"/>
      <c r="H89" s="13">
        <f>IF(OR(E89&gt;0,F89&gt;0,G89&gt;0),SUM(E89:G89),"")</f>
        <v>0</v>
      </c>
      <c r="I89" s="11"/>
      <c r="J89" s="14"/>
    </row>
    <row r="90" spans="1:10">
      <c r="A90" s="10"/>
      <c r="B90" s="11"/>
      <c r="C90" s="11"/>
      <c r="D90" s="11"/>
      <c r="E90" s="12"/>
      <c r="F90" s="12"/>
      <c r="G90" s="12"/>
      <c r="H90" s="13">
        <f>IF(OR(E90&gt;0,F90&gt;0,G90&gt;0),SUM(E90:G90),"")</f>
        <v>0</v>
      </c>
      <c r="I90" s="11"/>
      <c r="J90" s="14"/>
    </row>
    <row r="91" spans="1:10">
      <c r="A91" s="10"/>
      <c r="B91" s="11"/>
      <c r="C91" s="11"/>
      <c r="D91" s="11"/>
      <c r="E91" s="12"/>
      <c r="F91" s="12"/>
      <c r="G91" s="12"/>
      <c r="H91" s="13">
        <f>IF(OR(E91&gt;0,F91&gt;0,G91&gt;0),SUM(E91:G91),"")</f>
        <v>0</v>
      </c>
      <c r="I91" s="11"/>
      <c r="J91" s="14"/>
    </row>
    <row r="92" spans="1:10">
      <c r="A92" s="10"/>
      <c r="B92" s="11"/>
      <c r="C92" s="11"/>
      <c r="D92" s="11"/>
      <c r="E92" s="12"/>
      <c r="F92" s="12"/>
      <c r="G92" s="12"/>
      <c r="H92" s="13">
        <f>IF(OR(E92&gt;0,F92&gt;0,G92&gt;0),SUM(E92:G92),"")</f>
        <v>0</v>
      </c>
      <c r="I92" s="11"/>
      <c r="J92" s="14"/>
    </row>
    <row r="93" spans="1:10">
      <c r="A93" s="10"/>
      <c r="B93" s="11"/>
      <c r="C93" s="11"/>
      <c r="D93" s="11"/>
      <c r="E93" s="12"/>
      <c r="F93" s="12"/>
      <c r="G93" s="12"/>
      <c r="H93" s="13">
        <f>IF(OR(E93&gt;0,F93&gt;0,G93&gt;0),SUM(E93:G93),"")</f>
        <v>0</v>
      </c>
      <c r="I93" s="11"/>
      <c r="J93" s="14"/>
    </row>
    <row r="94" spans="1:10">
      <c r="A94" s="10"/>
      <c r="B94" s="11"/>
      <c r="C94" s="11"/>
      <c r="D94" s="11"/>
      <c r="E94" s="12"/>
      <c r="F94" s="12"/>
      <c r="G94" s="12"/>
      <c r="H94" s="13">
        <f>IF(OR(E94&gt;0,F94&gt;0,G94&gt;0),SUM(E94:G94),"")</f>
        <v>0</v>
      </c>
      <c r="I94" s="11"/>
      <c r="J94" s="14"/>
    </row>
    <row r="95" spans="1:10">
      <c r="A95" s="10"/>
      <c r="B95" s="11"/>
      <c r="C95" s="11"/>
      <c r="D95" s="11"/>
      <c r="E95" s="12"/>
      <c r="F95" s="12"/>
      <c r="G95" s="12"/>
      <c r="H95" s="13">
        <f>IF(OR(E95&gt;0,F95&gt;0,G95&gt;0),SUM(E95:G95),"")</f>
        <v>0</v>
      </c>
      <c r="I95" s="11"/>
      <c r="J95" s="14"/>
    </row>
    <row r="96" spans="1:10">
      <c r="A96" s="10"/>
      <c r="B96" s="11"/>
      <c r="C96" s="11"/>
      <c r="D96" s="11"/>
      <c r="E96" s="12"/>
      <c r="F96" s="12"/>
      <c r="G96" s="12"/>
      <c r="H96" s="13">
        <f>IF(OR(E96&gt;0,F96&gt;0,G96&gt;0),SUM(E96:G96),"")</f>
        <v>0</v>
      </c>
      <c r="I96" s="11"/>
      <c r="J96" s="14"/>
    </row>
    <row r="97" spans="1:10">
      <c r="A97" s="10"/>
      <c r="B97" s="11"/>
      <c r="C97" s="11"/>
      <c r="D97" s="11"/>
      <c r="E97" s="12"/>
      <c r="F97" s="12"/>
      <c r="G97" s="12"/>
      <c r="H97" s="13">
        <f>IF(OR(E97&gt;0,F97&gt;0,G97&gt;0),SUM(E97:G97),"")</f>
        <v>0</v>
      </c>
      <c r="I97" s="11"/>
      <c r="J97" s="14"/>
    </row>
    <row r="98" spans="1:10">
      <c r="A98" s="10"/>
      <c r="B98" s="11"/>
      <c r="C98" s="11"/>
      <c r="D98" s="11"/>
      <c r="E98" s="12"/>
      <c r="F98" s="12"/>
      <c r="G98" s="12"/>
      <c r="H98" s="13">
        <f>IF(OR(E98&gt;0,F98&gt;0,G98&gt;0),SUM(E98:G98),"")</f>
        <v>0</v>
      </c>
      <c r="I98" s="11"/>
      <c r="J98" s="14"/>
    </row>
    <row r="99" spans="1:10">
      <c r="A99" s="10"/>
      <c r="B99" s="11"/>
      <c r="C99" s="11"/>
      <c r="D99" s="11"/>
      <c r="E99" s="12"/>
      <c r="F99" s="12"/>
      <c r="G99" s="12"/>
      <c r="H99" s="13">
        <f>IF(OR(E99&gt;0,F99&gt;0,G99&gt;0),SUM(E99:G99),"")</f>
        <v>0</v>
      </c>
      <c r="I99" s="11"/>
      <c r="J99" s="14"/>
    </row>
    <row r="100" spans="1:10">
      <c r="A100" s="10"/>
      <c r="B100" s="11"/>
      <c r="C100" s="11"/>
      <c r="D100" s="11"/>
      <c r="E100" s="12"/>
      <c r="F100" s="12"/>
      <c r="G100" s="12"/>
      <c r="H100" s="13">
        <f>IF(OR(E100&gt;0,F100&gt;0,G100&gt;0),SUM(E100:G100),"")</f>
        <v>0</v>
      </c>
      <c r="I100" s="11"/>
      <c r="J100" s="14"/>
    </row>
    <row r="101" spans="1:10">
      <c r="A101" s="10"/>
      <c r="B101" s="11"/>
      <c r="C101" s="11"/>
      <c r="D101" s="11"/>
      <c r="E101" s="12"/>
      <c r="F101" s="12"/>
      <c r="G101" s="12"/>
      <c r="H101" s="13">
        <f>IF(OR(E101&gt;0,F101&gt;0,G101&gt;0),SUM(E101:G101),"")</f>
        <v>0</v>
      </c>
      <c r="I101" s="11"/>
      <c r="J101" s="14"/>
    </row>
    <row r="102" spans="1:10">
      <c r="A102" s="10"/>
      <c r="B102" s="11"/>
      <c r="C102" s="11"/>
      <c r="D102" s="11"/>
      <c r="E102" s="12"/>
      <c r="F102" s="12"/>
      <c r="G102" s="12"/>
      <c r="H102" s="13">
        <f>IF(OR(E102&gt;0,F102&gt;0,G102&gt;0),SUM(E102:G102),"")</f>
        <v>0</v>
      </c>
      <c r="I102" s="11"/>
      <c r="J102" s="14"/>
    </row>
    <row r="103" spans="1:10">
      <c r="A103" s="10"/>
      <c r="B103" s="11"/>
      <c r="C103" s="11"/>
      <c r="D103" s="11"/>
      <c r="E103" s="12"/>
      <c r="F103" s="12"/>
      <c r="G103" s="12"/>
      <c r="H103" s="13">
        <f>IF(OR(E103&gt;0,F103&gt;0,G103&gt;0),SUM(E103:G103),"")</f>
        <v>0</v>
      </c>
      <c r="I103" s="11"/>
      <c r="J103" s="14"/>
    </row>
    <row r="104" spans="1:10">
      <c r="A104" s="10"/>
      <c r="B104" s="11"/>
      <c r="C104" s="11"/>
      <c r="D104" s="11"/>
      <c r="E104" s="12"/>
      <c r="F104" s="12"/>
      <c r="G104" s="12"/>
      <c r="H104" s="13">
        <f>IF(OR(E104&gt;0,F104&gt;0,G104&gt;0),SUM(E104:G104),"")</f>
        <v>0</v>
      </c>
      <c r="I104" s="11"/>
      <c r="J104" s="14"/>
    </row>
    <row r="105" spans="1:10">
      <c r="A105" s="10"/>
      <c r="B105" s="11"/>
      <c r="C105" s="11"/>
      <c r="D105" s="11"/>
      <c r="E105" s="12"/>
      <c r="F105" s="12"/>
      <c r="G105" s="12"/>
      <c r="H105" s="13">
        <f>IF(OR(E105&gt;0,F105&gt;0,G105&gt;0),SUM(E105:G105),"")</f>
        <v>0</v>
      </c>
      <c r="I105" s="11"/>
      <c r="J105" s="14"/>
    </row>
    <row r="106" spans="1:10">
      <c r="A106" s="10"/>
      <c r="B106" s="11"/>
      <c r="C106" s="11"/>
      <c r="D106" s="11"/>
      <c r="E106" s="12"/>
      <c r="F106" s="12"/>
      <c r="G106" s="12"/>
      <c r="H106" s="13">
        <f>IF(OR(E106&gt;0,F106&gt;0,G106&gt;0),SUM(E106:G106),"")</f>
        <v>0</v>
      </c>
      <c r="I106" s="11"/>
      <c r="J106" s="14"/>
    </row>
    <row r="107" spans="1:10">
      <c r="A107" s="10"/>
      <c r="B107" s="11"/>
      <c r="C107" s="11"/>
      <c r="D107" s="11"/>
      <c r="E107" s="12"/>
      <c r="F107" s="12"/>
      <c r="G107" s="12"/>
      <c r="H107" s="13">
        <f>IF(OR(E107&gt;0,F107&gt;0,G107&gt;0),SUM(E107:G107),"")</f>
        <v>0</v>
      </c>
      <c r="I107" s="11"/>
      <c r="J107" s="14"/>
    </row>
    <row r="108" spans="1:10">
      <c r="A108" s="10"/>
      <c r="B108" s="11"/>
      <c r="C108" s="11"/>
      <c r="D108" s="11"/>
      <c r="E108" s="12"/>
      <c r="F108" s="12"/>
      <c r="G108" s="12"/>
      <c r="H108" s="13">
        <f>IF(OR(E108&gt;0,F108&gt;0,G108&gt;0),SUM(E108:G108),"")</f>
        <v>0</v>
      </c>
      <c r="I108" s="11"/>
      <c r="J108" s="14"/>
    </row>
    <row r="109" spans="1:10">
      <c r="A109" s="10"/>
      <c r="B109" s="11"/>
      <c r="C109" s="11"/>
      <c r="D109" s="11"/>
      <c r="E109" s="12"/>
      <c r="F109" s="12"/>
      <c r="G109" s="12"/>
      <c r="H109" s="13">
        <f>IF(OR(E109&gt;0,F109&gt;0,G109&gt;0),SUM(E109:G109),"")</f>
        <v>0</v>
      </c>
      <c r="I109" s="11"/>
      <c r="J109" s="14"/>
    </row>
    <row r="110" spans="1:10">
      <c r="A110" s="10"/>
      <c r="B110" s="11"/>
      <c r="C110" s="11"/>
      <c r="D110" s="11"/>
      <c r="E110" s="12"/>
      <c r="F110" s="12"/>
      <c r="G110" s="12"/>
      <c r="H110" s="13">
        <f>IF(OR(E110&gt;0,F110&gt;0,G110&gt;0),SUM(E110:G110),"")</f>
        <v>0</v>
      </c>
      <c r="I110" s="11"/>
      <c r="J110" s="14"/>
    </row>
    <row r="111" spans="1:10">
      <c r="A111" s="10"/>
      <c r="B111" s="11"/>
      <c r="C111" s="11"/>
      <c r="D111" s="11"/>
      <c r="E111" s="12"/>
      <c r="F111" s="12"/>
      <c r="G111" s="12"/>
      <c r="H111" s="13">
        <f>IF(OR(E111&gt;0,F111&gt;0,G111&gt;0),SUM(E111:G111),"")</f>
        <v>0</v>
      </c>
      <c r="I111" s="11"/>
      <c r="J111" s="14"/>
    </row>
    <row r="112" spans="1:10">
      <c r="A112" s="10"/>
      <c r="B112" s="11"/>
      <c r="C112" s="11"/>
      <c r="D112" s="11"/>
      <c r="E112" s="12"/>
      <c r="F112" s="12"/>
      <c r="G112" s="12"/>
      <c r="H112" s="13">
        <f>IF(OR(E112&gt;0,F112&gt;0,G112&gt;0),SUM(E112:G112),"")</f>
        <v>0</v>
      </c>
      <c r="I112" s="11"/>
      <c r="J112" s="14"/>
    </row>
    <row r="113" spans="1:10">
      <c r="A113" s="10"/>
      <c r="B113" s="11"/>
      <c r="C113" s="11"/>
      <c r="D113" s="11"/>
      <c r="E113" s="12"/>
      <c r="F113" s="12"/>
      <c r="G113" s="12"/>
      <c r="H113" s="13">
        <f>IF(OR(E113&gt;0,F113&gt;0,G113&gt;0),SUM(E113:G113),"")</f>
        <v>0</v>
      </c>
      <c r="I113" s="11"/>
      <c r="J113" s="14"/>
    </row>
    <row r="114" spans="1:10">
      <c r="A114" s="10"/>
      <c r="B114" s="11"/>
      <c r="C114" s="11"/>
      <c r="D114" s="11"/>
      <c r="E114" s="12"/>
      <c r="F114" s="12"/>
      <c r="G114" s="12"/>
      <c r="H114" s="13">
        <f>IF(OR(E114&gt;0,F114&gt;0,G114&gt;0),SUM(E114:G114),"")</f>
        <v>0</v>
      </c>
      <c r="I114" s="11"/>
      <c r="J114" s="14"/>
    </row>
    <row r="115" spans="1:10">
      <c r="A115" s="10"/>
      <c r="B115" s="11"/>
      <c r="C115" s="11"/>
      <c r="D115" s="11"/>
      <c r="E115" s="12"/>
      <c r="F115" s="12"/>
      <c r="G115" s="12"/>
      <c r="H115" s="13">
        <f>IF(OR(E115&gt;0,F115&gt;0,G115&gt;0),SUM(E115:G115),"")</f>
        <v>0</v>
      </c>
      <c r="I115" s="11"/>
      <c r="J115" s="14"/>
    </row>
    <row r="116" spans="1:10">
      <c r="A116" s="10"/>
      <c r="B116" s="11"/>
      <c r="C116" s="11"/>
      <c r="D116" s="11"/>
      <c r="E116" s="12"/>
      <c r="F116" s="12"/>
      <c r="G116" s="12"/>
      <c r="H116" s="13">
        <f>IF(OR(E116&gt;0,F116&gt;0,G116&gt;0),SUM(E116:G116),"")</f>
        <v>0</v>
      </c>
      <c r="I116" s="11"/>
      <c r="J116" s="14"/>
    </row>
    <row r="117" spans="1:10">
      <c r="A117" s="10"/>
      <c r="B117" s="11"/>
      <c r="C117" s="11"/>
      <c r="D117" s="11"/>
      <c r="E117" s="12"/>
      <c r="F117" s="12"/>
      <c r="G117" s="12"/>
      <c r="H117" s="13">
        <f>IF(OR(E117&gt;0,F117&gt;0,G117&gt;0),SUM(E117:G117),"")</f>
        <v>0</v>
      </c>
      <c r="I117" s="11"/>
      <c r="J117" s="14"/>
    </row>
    <row r="118" spans="1:10">
      <c r="A118" s="10"/>
      <c r="B118" s="11"/>
      <c r="C118" s="11"/>
      <c r="D118" s="11"/>
      <c r="E118" s="12"/>
      <c r="F118" s="12"/>
      <c r="G118" s="12"/>
      <c r="H118" s="13">
        <f>IF(OR(E118&gt;0,F118&gt;0,G118&gt;0),SUM(E118:G118),"")</f>
        <v>0</v>
      </c>
      <c r="I118" s="11"/>
      <c r="J118" s="14"/>
    </row>
    <row r="119" spans="1:10">
      <c r="A119" s="10"/>
      <c r="B119" s="11"/>
      <c r="C119" s="11"/>
      <c r="D119" s="11"/>
      <c r="E119" s="12"/>
      <c r="F119" s="12"/>
      <c r="G119" s="12"/>
      <c r="H119" s="13">
        <f>IF(OR(E119&gt;0,F119&gt;0,G119&gt;0),SUM(E119:G119),"")</f>
        <v>0</v>
      </c>
      <c r="I119" s="11"/>
      <c r="J119" s="14"/>
    </row>
    <row r="120" spans="1:10">
      <c r="A120" s="10"/>
      <c r="B120" s="11"/>
      <c r="C120" s="11"/>
      <c r="D120" s="11"/>
      <c r="E120" s="12"/>
      <c r="F120" s="12"/>
      <c r="G120" s="12"/>
      <c r="H120" s="13">
        <f>IF(OR(E120&gt;0,F120&gt;0,G120&gt;0),SUM(E120:G120),"")</f>
        <v>0</v>
      </c>
      <c r="I120" s="11"/>
      <c r="J120" s="14"/>
    </row>
    <row r="121" spans="1:10">
      <c r="A121" s="10"/>
      <c r="B121" s="11"/>
      <c r="C121" s="11"/>
      <c r="D121" s="11"/>
      <c r="E121" s="12"/>
      <c r="F121" s="12"/>
      <c r="G121" s="12"/>
      <c r="H121" s="13">
        <f>IF(OR(E121&gt;0,F121&gt;0,G121&gt;0),SUM(E121:G121),"")</f>
        <v>0</v>
      </c>
      <c r="I121" s="11"/>
      <c r="J121" s="14"/>
    </row>
    <row r="122" spans="1:10">
      <c r="A122" s="10"/>
      <c r="B122" s="11"/>
      <c r="C122" s="11"/>
      <c r="D122" s="11"/>
      <c r="E122" s="12"/>
      <c r="F122" s="12"/>
      <c r="G122" s="12"/>
      <c r="H122" s="13">
        <f>IF(OR(E122&gt;0,F122&gt;0,G122&gt;0),SUM(E122:G122),"")</f>
        <v>0</v>
      </c>
      <c r="I122" s="11"/>
      <c r="J122" s="14"/>
    </row>
    <row r="123" spans="1:10">
      <c r="A123" s="10"/>
      <c r="B123" s="11"/>
      <c r="C123" s="11"/>
      <c r="D123" s="11"/>
      <c r="E123" s="12"/>
      <c r="F123" s="12"/>
      <c r="G123" s="12"/>
      <c r="H123" s="13">
        <f>IF(OR(E123&gt;0,F123&gt;0,G123&gt;0),SUM(E123:G123),"")</f>
        <v>0</v>
      </c>
      <c r="I123" s="11"/>
      <c r="J123" s="14"/>
    </row>
    <row r="124" spans="1:10">
      <c r="A124" s="10"/>
      <c r="B124" s="11"/>
      <c r="C124" s="11"/>
      <c r="D124" s="11"/>
      <c r="E124" s="12"/>
      <c r="F124" s="12"/>
      <c r="G124" s="12"/>
      <c r="H124" s="13">
        <f>IF(OR(E124&gt;0,F124&gt;0,G124&gt;0),SUM(E124:G124),"")</f>
        <v>0</v>
      </c>
      <c r="I124" s="11"/>
      <c r="J124" s="14"/>
    </row>
    <row r="125" spans="1:10">
      <c r="A125" s="10"/>
      <c r="B125" s="11"/>
      <c r="C125" s="11"/>
      <c r="D125" s="11"/>
      <c r="E125" s="12"/>
      <c r="F125" s="12"/>
      <c r="G125" s="12"/>
      <c r="H125" s="13">
        <f>IF(OR(E125&gt;0,F125&gt;0,G125&gt;0),SUM(E125:G125),"")</f>
        <v>0</v>
      </c>
      <c r="I125" s="11"/>
      <c r="J125" s="14"/>
    </row>
    <row r="126" spans="1:10">
      <c r="A126" s="10"/>
      <c r="B126" s="11"/>
      <c r="C126" s="11"/>
      <c r="D126" s="11"/>
      <c r="E126" s="12"/>
      <c r="F126" s="12"/>
      <c r="G126" s="12"/>
      <c r="H126" s="13">
        <f>IF(OR(E126&gt;0,F126&gt;0,G126&gt;0),SUM(E126:G126),"")</f>
        <v>0</v>
      </c>
      <c r="I126" s="11"/>
      <c r="J126" s="14"/>
    </row>
    <row r="127" spans="1:10">
      <c r="A127" s="10"/>
      <c r="B127" s="11"/>
      <c r="C127" s="11"/>
      <c r="D127" s="11"/>
      <c r="E127" s="12"/>
      <c r="F127" s="12"/>
      <c r="G127" s="12"/>
      <c r="H127" s="13">
        <f>IF(OR(E127&gt;0,F127&gt;0,G127&gt;0),SUM(E127:G127),"")</f>
        <v>0</v>
      </c>
      <c r="I127" s="11"/>
      <c r="J127" s="14"/>
    </row>
    <row r="128" spans="1:10">
      <c r="A128" s="10"/>
      <c r="B128" s="11"/>
      <c r="C128" s="11"/>
      <c r="D128" s="11"/>
      <c r="E128" s="12"/>
      <c r="F128" s="12"/>
      <c r="G128" s="12"/>
      <c r="H128" s="13">
        <f>IF(OR(E128&gt;0,F128&gt;0,G128&gt;0),SUM(E128:G128),"")</f>
        <v>0</v>
      </c>
      <c r="I128" s="11"/>
      <c r="J128" s="14"/>
    </row>
    <row r="129" spans="1:10">
      <c r="A129" s="10"/>
      <c r="B129" s="11"/>
      <c r="C129" s="11"/>
      <c r="D129" s="11"/>
      <c r="E129" s="12"/>
      <c r="F129" s="12"/>
      <c r="G129" s="12"/>
      <c r="H129" s="13">
        <f>IF(OR(E129&gt;0,F129&gt;0,G129&gt;0),SUM(E129:G129),"")</f>
        <v>0</v>
      </c>
      <c r="I129" s="11"/>
      <c r="J129" s="14"/>
    </row>
    <row r="130" spans="1:10">
      <c r="A130" s="10"/>
      <c r="B130" s="11"/>
      <c r="C130" s="11"/>
      <c r="D130" s="11"/>
      <c r="E130" s="12"/>
      <c r="F130" s="12"/>
      <c r="G130" s="12"/>
      <c r="H130" s="13">
        <f>IF(OR(E130&gt;0,F130&gt;0,G130&gt;0),SUM(E130:G130),"")</f>
        <v>0</v>
      </c>
      <c r="I130" s="11"/>
      <c r="J130" s="14"/>
    </row>
    <row r="131" spans="1:10">
      <c r="A131" s="10"/>
      <c r="B131" s="11"/>
      <c r="C131" s="11"/>
      <c r="D131" s="11"/>
      <c r="E131" s="12"/>
      <c r="F131" s="12"/>
      <c r="G131" s="12"/>
      <c r="H131" s="13">
        <f>IF(OR(E131&gt;0,F131&gt;0,G131&gt;0),SUM(E131:G131),"")</f>
        <v>0</v>
      </c>
      <c r="I131" s="11"/>
      <c r="J131" s="14"/>
    </row>
    <row r="132" spans="1:10">
      <c r="A132" s="10"/>
      <c r="B132" s="11"/>
      <c r="C132" s="11"/>
      <c r="D132" s="11"/>
      <c r="E132" s="12"/>
      <c r="F132" s="12"/>
      <c r="G132" s="12"/>
      <c r="H132" s="13">
        <f>IF(OR(E132&gt;0,F132&gt;0,G132&gt;0),SUM(E132:G132),"")</f>
        <v>0</v>
      </c>
      <c r="I132" s="11"/>
      <c r="J132" s="14"/>
    </row>
    <row r="133" spans="1:10">
      <c r="A133" s="10"/>
      <c r="B133" s="11"/>
      <c r="C133" s="11"/>
      <c r="D133" s="11"/>
      <c r="E133" s="12"/>
      <c r="F133" s="12"/>
      <c r="G133" s="12"/>
      <c r="H133" s="13">
        <f>IF(OR(E133&gt;0,F133&gt;0,G133&gt;0),SUM(E133:G133),"")</f>
        <v>0</v>
      </c>
      <c r="I133" s="11"/>
      <c r="J133" s="14"/>
    </row>
    <row r="134" spans="1:10">
      <c r="A134" s="10"/>
      <c r="B134" s="11"/>
      <c r="C134" s="11"/>
      <c r="D134" s="11"/>
      <c r="E134" s="12"/>
      <c r="F134" s="12"/>
      <c r="G134" s="12"/>
      <c r="H134" s="13">
        <f>IF(OR(E134&gt;0,F134&gt;0,G134&gt;0),SUM(E134:G134),"")</f>
        <v>0</v>
      </c>
      <c r="I134" s="11"/>
      <c r="J134" s="14"/>
    </row>
    <row r="135" spans="1:10">
      <c r="A135" s="10"/>
      <c r="B135" s="11"/>
      <c r="C135" s="11"/>
      <c r="D135" s="11"/>
      <c r="E135" s="12"/>
      <c r="F135" s="12"/>
      <c r="G135" s="12"/>
      <c r="H135" s="13">
        <f>IF(OR(E135&gt;0,F135&gt;0,G135&gt;0),SUM(E135:G135),"")</f>
        <v>0</v>
      </c>
      <c r="I135" s="11"/>
      <c r="J135" s="14"/>
    </row>
    <row r="136" spans="1:10">
      <c r="A136" s="10"/>
      <c r="B136" s="11"/>
      <c r="C136" s="11"/>
      <c r="D136" s="11"/>
      <c r="E136" s="12"/>
      <c r="F136" s="12"/>
      <c r="G136" s="12"/>
      <c r="H136" s="13">
        <f>IF(OR(E136&gt;0,F136&gt;0,G136&gt;0),SUM(E136:G136),"")</f>
        <v>0</v>
      </c>
      <c r="I136" s="11"/>
      <c r="J136" s="14"/>
    </row>
    <row r="137" spans="1:10">
      <c r="A137" s="10"/>
      <c r="B137" s="11"/>
      <c r="C137" s="11"/>
      <c r="D137" s="11"/>
      <c r="E137" s="12"/>
      <c r="F137" s="12"/>
      <c r="G137" s="12"/>
      <c r="H137" s="13">
        <f>IF(OR(E137&gt;0,F137&gt;0,G137&gt;0),SUM(E137:G137),"")</f>
        <v>0</v>
      </c>
      <c r="I137" s="11"/>
      <c r="J137" s="14"/>
    </row>
    <row r="138" spans="1:10">
      <c r="A138" s="10"/>
      <c r="B138" s="11"/>
      <c r="C138" s="11"/>
      <c r="D138" s="11"/>
      <c r="E138" s="12"/>
      <c r="F138" s="12"/>
      <c r="G138" s="12"/>
      <c r="H138" s="13">
        <f>IF(OR(E138&gt;0,F138&gt;0,G138&gt;0),SUM(E138:G138),"")</f>
        <v>0</v>
      </c>
      <c r="I138" s="11"/>
      <c r="J138" s="14"/>
    </row>
    <row r="139" spans="1:10">
      <c r="A139" s="10"/>
      <c r="B139" s="11"/>
      <c r="C139" s="11"/>
      <c r="D139" s="11"/>
      <c r="E139" s="12"/>
      <c r="F139" s="12"/>
      <c r="G139" s="12"/>
      <c r="H139" s="13">
        <f>IF(OR(E139&gt;0,F139&gt;0,G139&gt;0),SUM(E139:G139),"")</f>
        <v>0</v>
      </c>
      <c r="I139" s="11"/>
      <c r="J139" s="14"/>
    </row>
    <row r="140" spans="1:10">
      <c r="A140" s="10"/>
      <c r="B140" s="11"/>
      <c r="C140" s="11"/>
      <c r="D140" s="11"/>
      <c r="E140" s="12"/>
      <c r="F140" s="12"/>
      <c r="G140" s="12"/>
      <c r="H140" s="13">
        <f>IF(OR(E140&gt;0,F140&gt;0,G140&gt;0),SUM(E140:G140),"")</f>
        <v>0</v>
      </c>
      <c r="I140" s="11"/>
      <c r="J140" s="14"/>
    </row>
    <row r="141" spans="1:10">
      <c r="A141" s="10"/>
      <c r="B141" s="11"/>
      <c r="C141" s="11"/>
      <c r="D141" s="11"/>
      <c r="E141" s="12"/>
      <c r="F141" s="12"/>
      <c r="G141" s="12"/>
      <c r="H141" s="13">
        <f>IF(OR(E141&gt;0,F141&gt;0,G141&gt;0),SUM(E141:G141),"")</f>
        <v>0</v>
      </c>
      <c r="I141" s="11"/>
      <c r="J141" s="14"/>
    </row>
    <row r="142" spans="1:10">
      <c r="A142" s="10"/>
      <c r="B142" s="11"/>
      <c r="C142" s="11"/>
      <c r="D142" s="11"/>
      <c r="E142" s="12"/>
      <c r="F142" s="12"/>
      <c r="G142" s="12"/>
      <c r="H142" s="13">
        <f>IF(OR(E142&gt;0,F142&gt;0,G142&gt;0),SUM(E142:G142),"")</f>
        <v>0</v>
      </c>
      <c r="I142" s="11"/>
      <c r="J142" s="14"/>
    </row>
    <row r="143" spans="1:10">
      <c r="A143" s="10"/>
      <c r="B143" s="11"/>
      <c r="C143" s="11"/>
      <c r="D143" s="11"/>
      <c r="E143" s="12"/>
      <c r="F143" s="12"/>
      <c r="G143" s="12"/>
      <c r="H143" s="13">
        <f>IF(OR(E143&gt;0,F143&gt;0,G143&gt;0),SUM(E143:G143),"")</f>
        <v>0</v>
      </c>
      <c r="I143" s="11"/>
      <c r="J143" s="14"/>
    </row>
    <row r="144" spans="1:10">
      <c r="A144" s="10"/>
      <c r="B144" s="11"/>
      <c r="C144" s="11"/>
      <c r="D144" s="11"/>
      <c r="E144" s="12"/>
      <c r="F144" s="12"/>
      <c r="G144" s="12"/>
      <c r="H144" s="13">
        <f>IF(OR(E144&gt;0,F144&gt;0,G144&gt;0),SUM(E144:G144),"")</f>
        <v>0</v>
      </c>
      <c r="I144" s="11"/>
      <c r="J144" s="14"/>
    </row>
    <row r="145" spans="1:10">
      <c r="A145" s="10"/>
      <c r="B145" s="11"/>
      <c r="C145" s="11"/>
      <c r="D145" s="11"/>
      <c r="E145" s="12"/>
      <c r="F145" s="12"/>
      <c r="G145" s="12"/>
      <c r="H145" s="13">
        <f>IF(OR(E145&gt;0,F145&gt;0,G145&gt;0),SUM(E145:G145),"")</f>
        <v>0</v>
      </c>
      <c r="I145" s="11"/>
      <c r="J145" s="14"/>
    </row>
    <row r="146" spans="1:10">
      <c r="A146" s="10"/>
      <c r="B146" s="11"/>
      <c r="C146" s="11"/>
      <c r="D146" s="11"/>
      <c r="E146" s="12"/>
      <c r="F146" s="12"/>
      <c r="G146" s="12"/>
      <c r="H146" s="13">
        <f>IF(OR(E146&gt;0,F146&gt;0,G146&gt;0),SUM(E146:G146),"")</f>
        <v>0</v>
      </c>
      <c r="I146" s="11"/>
      <c r="J146" s="14"/>
    </row>
    <row r="147" spans="1:10">
      <c r="A147" s="10"/>
      <c r="B147" s="11"/>
      <c r="C147" s="11"/>
      <c r="D147" s="11"/>
      <c r="E147" s="12"/>
      <c r="F147" s="12"/>
      <c r="G147" s="12"/>
      <c r="H147" s="13">
        <f>IF(OR(E147&gt;0,F147&gt;0,G147&gt;0),SUM(E147:G147),"")</f>
        <v>0</v>
      </c>
      <c r="I147" s="11"/>
      <c r="J147" s="14"/>
    </row>
    <row r="148" spans="1:10">
      <c r="A148" s="10"/>
      <c r="B148" s="11"/>
      <c r="C148" s="11"/>
      <c r="D148" s="11"/>
      <c r="E148" s="12"/>
      <c r="F148" s="12"/>
      <c r="G148" s="12"/>
      <c r="H148" s="13">
        <f>IF(OR(E148&gt;0,F148&gt;0,G148&gt;0),SUM(E148:G148),"")</f>
        <v>0</v>
      </c>
      <c r="I148" s="11"/>
      <c r="J148" s="14"/>
    </row>
    <row r="149" spans="1:10">
      <c r="A149" s="10"/>
      <c r="B149" s="11"/>
      <c r="C149" s="11"/>
      <c r="D149" s="11"/>
      <c r="E149" s="12"/>
      <c r="F149" s="12"/>
      <c r="G149" s="12"/>
      <c r="H149" s="13">
        <f>IF(OR(E149&gt;0,F149&gt;0,G149&gt;0),SUM(E149:G149),"")</f>
        <v>0</v>
      </c>
      <c r="I149" s="11"/>
      <c r="J149" s="14"/>
    </row>
    <row r="150" spans="1:10">
      <c r="A150" s="10"/>
      <c r="B150" s="11"/>
      <c r="C150" s="11"/>
      <c r="D150" s="11"/>
      <c r="E150" s="12"/>
      <c r="F150" s="12"/>
      <c r="G150" s="12"/>
      <c r="H150" s="13">
        <f>IF(OR(E150&gt;0,F150&gt;0,G150&gt;0),SUM(E150:G150),"")</f>
        <v>0</v>
      </c>
      <c r="I150" s="11"/>
      <c r="J150" s="14"/>
    </row>
    <row r="151" spans="1:10">
      <c r="A151" s="10"/>
      <c r="B151" s="11"/>
      <c r="C151" s="11"/>
      <c r="D151" s="11"/>
      <c r="E151" s="12"/>
      <c r="F151" s="12"/>
      <c r="G151" s="12"/>
      <c r="H151" s="13">
        <f>IF(OR(E151&gt;0,F151&gt;0,G151&gt;0),SUM(E151:G151),"")</f>
        <v>0</v>
      </c>
      <c r="I151" s="11"/>
      <c r="J151" s="14"/>
    </row>
    <row r="152" spans="1:10">
      <c r="A152" s="10"/>
      <c r="B152" s="11"/>
      <c r="C152" s="11"/>
      <c r="D152" s="11"/>
      <c r="E152" s="12"/>
      <c r="F152" s="12"/>
      <c r="G152" s="12"/>
      <c r="H152" s="13">
        <f>IF(OR(E152&gt;0,F152&gt;0,G152&gt;0),SUM(E152:G152),"")</f>
        <v>0</v>
      </c>
      <c r="I152" s="11"/>
      <c r="J152" s="14"/>
    </row>
    <row r="153" spans="1:10">
      <c r="A153" s="10"/>
      <c r="B153" s="11"/>
      <c r="C153" s="11"/>
      <c r="D153" s="11"/>
      <c r="E153" s="12"/>
      <c r="F153" s="12"/>
      <c r="G153" s="12"/>
      <c r="H153" s="13">
        <f>IF(OR(E153&gt;0,F153&gt;0,G153&gt;0),SUM(E153:G153),"")</f>
        <v>0</v>
      </c>
      <c r="I153" s="11"/>
      <c r="J153" s="14"/>
    </row>
    <row r="154" spans="1:10">
      <c r="A154" s="10"/>
      <c r="B154" s="11"/>
      <c r="C154" s="11"/>
      <c r="D154" s="11"/>
      <c r="E154" s="12"/>
      <c r="F154" s="12"/>
      <c r="G154" s="12"/>
      <c r="H154" s="13">
        <f>IF(OR(E154&gt;0,F154&gt;0,G154&gt;0),SUM(E154:G154),"")</f>
        <v>0</v>
      </c>
      <c r="I154" s="11"/>
      <c r="J154" s="14"/>
    </row>
    <row r="155" spans="1:10">
      <c r="A155" s="10"/>
      <c r="B155" s="11"/>
      <c r="C155" s="11"/>
      <c r="D155" s="11"/>
      <c r="E155" s="12"/>
      <c r="F155" s="12"/>
      <c r="G155" s="12"/>
      <c r="H155" s="13">
        <f>IF(OR(E155&gt;0,F155&gt;0,G155&gt;0),SUM(E155:G155),"")</f>
        <v>0</v>
      </c>
      <c r="I155" s="11"/>
      <c r="J155" s="14"/>
    </row>
    <row r="156" spans="1:10">
      <c r="A156" s="10"/>
      <c r="B156" s="11"/>
      <c r="C156" s="11"/>
      <c r="D156" s="11"/>
      <c r="E156" s="12"/>
      <c r="F156" s="12"/>
      <c r="G156" s="12"/>
      <c r="H156" s="13">
        <f>IF(OR(E156&gt;0,F156&gt;0,G156&gt;0),SUM(E156:G156),"")</f>
        <v>0</v>
      </c>
      <c r="I156" s="11"/>
      <c r="J156" s="14"/>
    </row>
    <row r="157" spans="1:10">
      <c r="A157" s="10"/>
      <c r="B157" s="11"/>
      <c r="C157" s="11"/>
      <c r="D157" s="11"/>
      <c r="E157" s="12"/>
      <c r="F157" s="12"/>
      <c r="G157" s="12"/>
      <c r="H157" s="13">
        <f>IF(OR(E157&gt;0,F157&gt;0,G157&gt;0),SUM(E157:G157),"")</f>
        <v>0</v>
      </c>
      <c r="I157" s="11"/>
      <c r="J157" s="14"/>
    </row>
    <row r="158" spans="1:10">
      <c r="A158" s="10"/>
      <c r="B158" s="11"/>
      <c r="C158" s="11"/>
      <c r="D158" s="11"/>
      <c r="E158" s="12"/>
      <c r="F158" s="12"/>
      <c r="G158" s="12"/>
      <c r="H158" s="13">
        <f>IF(OR(E158&gt;0,F158&gt;0,G158&gt;0),SUM(E158:G158),"")</f>
        <v>0</v>
      </c>
      <c r="I158" s="11"/>
      <c r="J158" s="14"/>
    </row>
    <row r="159" spans="1:10">
      <c r="A159" s="10"/>
      <c r="B159" s="11"/>
      <c r="C159" s="11"/>
      <c r="D159" s="11"/>
      <c r="E159" s="12"/>
      <c r="F159" s="12"/>
      <c r="G159" s="12"/>
      <c r="H159" s="13">
        <f>IF(OR(E159&gt;0,F159&gt;0,G159&gt;0),SUM(E159:G159),"")</f>
        <v>0</v>
      </c>
      <c r="I159" s="11"/>
      <c r="J159" s="14"/>
    </row>
    <row r="160" spans="1:10">
      <c r="A160" s="10"/>
      <c r="B160" s="11"/>
      <c r="C160" s="11"/>
      <c r="D160" s="11"/>
      <c r="E160" s="12"/>
      <c r="F160" s="12"/>
      <c r="G160" s="12"/>
      <c r="H160" s="13">
        <f>IF(OR(E160&gt;0,F160&gt;0,G160&gt;0),SUM(E160:G160),"")</f>
        <v>0</v>
      </c>
      <c r="I160" s="11"/>
      <c r="J160" s="14"/>
    </row>
    <row r="161" spans="1:10">
      <c r="A161" s="10"/>
      <c r="B161" s="11"/>
      <c r="C161" s="11"/>
      <c r="D161" s="11"/>
      <c r="E161" s="12"/>
      <c r="F161" s="12"/>
      <c r="G161" s="12"/>
      <c r="H161" s="13">
        <f>IF(OR(E161&gt;0,F161&gt;0,G161&gt;0),SUM(E161:G161),"")</f>
        <v>0</v>
      </c>
      <c r="I161" s="11"/>
      <c r="J161" s="14"/>
    </row>
    <row r="162" spans="1:10">
      <c r="A162" s="10"/>
      <c r="B162" s="11"/>
      <c r="C162" s="11"/>
      <c r="D162" s="11"/>
      <c r="E162" s="12"/>
      <c r="F162" s="12"/>
      <c r="G162" s="12"/>
      <c r="H162" s="13">
        <f>IF(OR(E162&gt;0,F162&gt;0,G162&gt;0),SUM(E162:G162),"")</f>
        <v>0</v>
      </c>
      <c r="I162" s="11"/>
      <c r="J162" s="14"/>
    </row>
    <row r="163" spans="1:10">
      <c r="A163" s="10"/>
      <c r="B163" s="11"/>
      <c r="C163" s="11"/>
      <c r="D163" s="11"/>
      <c r="E163" s="12"/>
      <c r="F163" s="12"/>
      <c r="G163" s="12"/>
      <c r="H163" s="13">
        <f>IF(OR(E163&gt;0,F163&gt;0,G163&gt;0),SUM(E163:G163),"")</f>
        <v>0</v>
      </c>
      <c r="I163" s="11"/>
      <c r="J163" s="14"/>
    </row>
    <row r="164" spans="1:10">
      <c r="A164" s="10"/>
      <c r="B164" s="11"/>
      <c r="C164" s="11"/>
      <c r="D164" s="11"/>
      <c r="E164" s="12"/>
      <c r="F164" s="12"/>
      <c r="G164" s="12"/>
      <c r="H164" s="13">
        <f>IF(OR(E164&gt;0,F164&gt;0,G164&gt;0),SUM(E164:G164),"")</f>
        <v>0</v>
      </c>
      <c r="I164" s="11"/>
      <c r="J164" s="14"/>
    </row>
    <row r="165" spans="1:10">
      <c r="A165" s="10"/>
      <c r="B165" s="11"/>
      <c r="C165" s="11"/>
      <c r="D165" s="11"/>
      <c r="E165" s="12"/>
      <c r="F165" s="12"/>
      <c r="G165" s="12"/>
      <c r="H165" s="13">
        <f>IF(OR(E165&gt;0,F165&gt;0,G165&gt;0),SUM(E165:G165),"")</f>
        <v>0</v>
      </c>
      <c r="I165" s="11"/>
      <c r="J165" s="14"/>
    </row>
    <row r="166" spans="1:10">
      <c r="A166" s="10"/>
      <c r="B166" s="11"/>
      <c r="C166" s="11"/>
      <c r="D166" s="11"/>
      <c r="E166" s="12"/>
      <c r="F166" s="12"/>
      <c r="G166" s="12"/>
      <c r="H166" s="13">
        <f>IF(OR(E166&gt;0,F166&gt;0,G166&gt;0),SUM(E166:G166),"")</f>
        <v>0</v>
      </c>
      <c r="I166" s="11"/>
      <c r="J166" s="14"/>
    </row>
    <row r="167" spans="1:10">
      <c r="A167" s="10"/>
      <c r="B167" s="11"/>
      <c r="C167" s="11"/>
      <c r="D167" s="11"/>
      <c r="E167" s="12"/>
      <c r="F167" s="12"/>
      <c r="G167" s="12"/>
      <c r="H167" s="13">
        <f>IF(OR(E167&gt;0,F167&gt;0,G167&gt;0),SUM(E167:G167),"")</f>
        <v>0</v>
      </c>
      <c r="I167" s="11"/>
      <c r="J167" s="14"/>
    </row>
    <row r="168" spans="1:10">
      <c r="A168" s="10"/>
      <c r="B168" s="11"/>
      <c r="C168" s="11"/>
      <c r="D168" s="11"/>
      <c r="E168" s="12"/>
      <c r="F168" s="12"/>
      <c r="G168" s="12"/>
      <c r="H168" s="13">
        <f>IF(OR(E168&gt;0,F168&gt;0,G168&gt;0),SUM(E168:G168),"")</f>
        <v>0</v>
      </c>
      <c r="I168" s="11"/>
      <c r="J168" s="14"/>
    </row>
    <row r="169" spans="1:10">
      <c r="A169" s="10"/>
      <c r="B169" s="11"/>
      <c r="C169" s="11"/>
      <c r="D169" s="11"/>
      <c r="E169" s="12"/>
      <c r="F169" s="12"/>
      <c r="G169" s="12"/>
      <c r="H169" s="13">
        <f>IF(OR(E169&gt;0,F169&gt;0,G169&gt;0),SUM(E169:G169),"")</f>
        <v>0</v>
      </c>
      <c r="I169" s="11"/>
      <c r="J169" s="14"/>
    </row>
    <row r="170" spans="1:10">
      <c r="A170" s="10"/>
      <c r="B170" s="11"/>
      <c r="C170" s="11"/>
      <c r="D170" s="11"/>
      <c r="E170" s="12"/>
      <c r="F170" s="12"/>
      <c r="G170" s="12"/>
      <c r="H170" s="13">
        <f>IF(OR(E170&gt;0,F170&gt;0,G170&gt;0),SUM(E170:G170),"")</f>
        <v>0</v>
      </c>
      <c r="I170" s="11"/>
      <c r="J170" s="14"/>
    </row>
    <row r="171" spans="1:10">
      <c r="A171" s="10"/>
      <c r="B171" s="11"/>
      <c r="C171" s="11"/>
      <c r="D171" s="11"/>
      <c r="E171" s="12"/>
      <c r="F171" s="12"/>
      <c r="G171" s="12"/>
      <c r="H171" s="13">
        <f>IF(OR(E171&gt;0,F171&gt;0,G171&gt;0),SUM(E171:G171),"")</f>
        <v>0</v>
      </c>
      <c r="I171" s="11"/>
      <c r="J171" s="14"/>
    </row>
    <row r="172" spans="1:10">
      <c r="A172" s="10"/>
      <c r="B172" s="11"/>
      <c r="C172" s="11"/>
      <c r="D172" s="11"/>
      <c r="E172" s="12"/>
      <c r="F172" s="12"/>
      <c r="G172" s="12"/>
      <c r="H172" s="13">
        <f>IF(OR(E172&gt;0,F172&gt;0,G172&gt;0),SUM(E172:G172),"")</f>
        <v>0</v>
      </c>
      <c r="I172" s="11"/>
      <c r="J172" s="14"/>
    </row>
    <row r="173" spans="1:10">
      <c r="A173" s="10"/>
      <c r="B173" s="11"/>
      <c r="C173" s="11"/>
      <c r="D173" s="11"/>
      <c r="E173" s="12"/>
      <c r="F173" s="12"/>
      <c r="G173" s="12"/>
      <c r="H173" s="13">
        <f>IF(OR(E173&gt;0,F173&gt;0,G173&gt;0),SUM(E173:G173),"")</f>
        <v>0</v>
      </c>
      <c r="I173" s="11"/>
      <c r="J173" s="14"/>
    </row>
    <row r="174" spans="1:10">
      <c r="A174" s="10"/>
      <c r="B174" s="11"/>
      <c r="C174" s="11"/>
      <c r="D174" s="11"/>
      <c r="E174" s="12"/>
      <c r="F174" s="12"/>
      <c r="G174" s="12"/>
      <c r="H174" s="13">
        <f>IF(OR(E174&gt;0,F174&gt;0,G174&gt;0),SUM(E174:G174),"")</f>
        <v>0</v>
      </c>
      <c r="I174" s="11"/>
      <c r="J174" s="14"/>
    </row>
    <row r="175" spans="1:10">
      <c r="A175" s="10"/>
      <c r="B175" s="11"/>
      <c r="C175" s="11"/>
      <c r="D175" s="11"/>
      <c r="E175" s="12"/>
      <c r="F175" s="12"/>
      <c r="G175" s="12"/>
      <c r="H175" s="13">
        <f>IF(OR(E175&gt;0,F175&gt;0,G175&gt;0),SUM(E175:G175),"")</f>
        <v>0</v>
      </c>
      <c r="I175" s="11"/>
      <c r="J175" s="14"/>
    </row>
    <row r="176" spans="1:10">
      <c r="A176" s="10"/>
      <c r="B176" s="11"/>
      <c r="C176" s="11"/>
      <c r="D176" s="11"/>
      <c r="E176" s="12"/>
      <c r="F176" s="12"/>
      <c r="G176" s="12"/>
      <c r="H176" s="13">
        <f>IF(OR(E176&gt;0,F176&gt;0,G176&gt;0),SUM(E176:G176),"")</f>
        <v>0</v>
      </c>
      <c r="I176" s="11"/>
      <c r="J176" s="14"/>
    </row>
    <row r="177" spans="1:10">
      <c r="A177" s="10"/>
      <c r="B177" s="11"/>
      <c r="C177" s="11"/>
      <c r="D177" s="11"/>
      <c r="E177" s="12"/>
      <c r="F177" s="12"/>
      <c r="G177" s="12"/>
      <c r="H177" s="13">
        <f>IF(OR(E177&gt;0,F177&gt;0,G177&gt;0),SUM(E177:G177),"")</f>
        <v>0</v>
      </c>
      <c r="I177" s="11"/>
      <c r="J177" s="14"/>
    </row>
    <row r="178" spans="1:10">
      <c r="A178" s="10"/>
      <c r="B178" s="11"/>
      <c r="C178" s="11"/>
      <c r="D178" s="11"/>
      <c r="E178" s="12"/>
      <c r="F178" s="12"/>
      <c r="G178" s="12"/>
      <c r="H178" s="13">
        <f>IF(OR(E178&gt;0,F178&gt;0,G178&gt;0),SUM(E178:G178),"")</f>
        <v>0</v>
      </c>
      <c r="I178" s="11"/>
      <c r="J178" s="14"/>
    </row>
    <row r="179" spans="1:10">
      <c r="A179" s="10"/>
      <c r="B179" s="11"/>
      <c r="C179" s="11"/>
      <c r="D179" s="11"/>
      <c r="E179" s="12"/>
      <c r="F179" s="12"/>
      <c r="G179" s="12"/>
      <c r="H179" s="13">
        <f>IF(OR(E179&gt;0,F179&gt;0,G179&gt;0),SUM(E179:G179),"")</f>
        <v>0</v>
      </c>
      <c r="I179" s="11"/>
      <c r="J179" s="14"/>
    </row>
    <row r="180" spans="1:10">
      <c r="A180" s="10"/>
      <c r="B180" s="11"/>
      <c r="C180" s="11"/>
      <c r="D180" s="11"/>
      <c r="E180" s="12"/>
      <c r="F180" s="12"/>
      <c r="G180" s="12"/>
      <c r="H180" s="13">
        <f>IF(OR(E180&gt;0,F180&gt;0,G180&gt;0),SUM(E180:G180),"")</f>
        <v>0</v>
      </c>
      <c r="I180" s="11"/>
      <c r="J180" s="14"/>
    </row>
    <row r="181" spans="1:10">
      <c r="A181" s="10"/>
      <c r="B181" s="11"/>
      <c r="C181" s="11"/>
      <c r="D181" s="11"/>
      <c r="E181" s="12"/>
      <c r="F181" s="12"/>
      <c r="G181" s="12"/>
      <c r="H181" s="13">
        <f>IF(OR(E181&gt;0,F181&gt;0,G181&gt;0),SUM(E181:G181),"")</f>
        <v>0</v>
      </c>
      <c r="I181" s="11"/>
      <c r="J181" s="14"/>
    </row>
    <row r="182" spans="1:10">
      <c r="A182" s="10"/>
      <c r="B182" s="11"/>
      <c r="C182" s="11"/>
      <c r="D182" s="11"/>
      <c r="E182" s="12"/>
      <c r="F182" s="12"/>
      <c r="G182" s="12"/>
      <c r="H182" s="13">
        <f>IF(OR(E182&gt;0,F182&gt;0,G182&gt;0),SUM(E182:G182),"")</f>
        <v>0</v>
      </c>
      <c r="I182" s="11"/>
      <c r="J182" s="14"/>
    </row>
    <row r="183" spans="1:10">
      <c r="A183" s="10"/>
      <c r="B183" s="11"/>
      <c r="C183" s="11"/>
      <c r="D183" s="11"/>
      <c r="E183" s="12"/>
      <c r="F183" s="12"/>
      <c r="G183" s="12"/>
      <c r="H183" s="13">
        <f>IF(OR(E183&gt;0,F183&gt;0,G183&gt;0),SUM(E183:G183),"")</f>
        <v>0</v>
      </c>
      <c r="I183" s="11"/>
      <c r="J183" s="14"/>
    </row>
    <row r="184" spans="1:10">
      <c r="A184" s="10"/>
      <c r="B184" s="11"/>
      <c r="C184" s="11"/>
      <c r="D184" s="11"/>
      <c r="E184" s="12"/>
      <c r="F184" s="12"/>
      <c r="G184" s="12"/>
      <c r="H184" s="13">
        <f>IF(OR(E184&gt;0,F184&gt;0,G184&gt;0),SUM(E184:G184),"")</f>
        <v>0</v>
      </c>
      <c r="I184" s="11"/>
      <c r="J184" s="14"/>
    </row>
    <row r="185" spans="1:10">
      <c r="A185" s="10"/>
      <c r="B185" s="11"/>
      <c r="C185" s="11"/>
      <c r="D185" s="11"/>
      <c r="E185" s="12"/>
      <c r="F185" s="12"/>
      <c r="G185" s="12"/>
      <c r="H185" s="13">
        <f>IF(OR(E185&gt;0,F185&gt;0,G185&gt;0),SUM(E185:G185),"")</f>
        <v>0</v>
      </c>
      <c r="I185" s="11"/>
      <c r="J185" s="14"/>
    </row>
    <row r="186" spans="1:10">
      <c r="A186" s="10"/>
      <c r="B186" s="11"/>
      <c r="C186" s="11"/>
      <c r="D186" s="11"/>
      <c r="E186" s="12"/>
      <c r="F186" s="12"/>
      <c r="G186" s="12"/>
      <c r="H186" s="13">
        <f>IF(OR(E186&gt;0,F186&gt;0,G186&gt;0),SUM(E186:G186),"")</f>
        <v>0</v>
      </c>
      <c r="I186" s="11"/>
      <c r="J186" s="14"/>
    </row>
    <row r="187" spans="1:10">
      <c r="A187" s="10"/>
      <c r="B187" s="11"/>
      <c r="C187" s="11"/>
      <c r="D187" s="11"/>
      <c r="E187" s="12"/>
      <c r="F187" s="12"/>
      <c r="G187" s="12"/>
      <c r="H187" s="13">
        <f>IF(OR(E187&gt;0,F187&gt;0,G187&gt;0),SUM(E187:G187),"")</f>
        <v>0</v>
      </c>
      <c r="I187" s="11"/>
      <c r="J187" s="14"/>
    </row>
    <row r="188" spans="1:10">
      <c r="A188" s="10"/>
      <c r="B188" s="11"/>
      <c r="C188" s="11"/>
      <c r="D188" s="11"/>
      <c r="E188" s="12"/>
      <c r="F188" s="12"/>
      <c r="G188" s="12"/>
      <c r="H188" s="13">
        <f>IF(OR(E188&gt;0,F188&gt;0,G188&gt;0),SUM(E188:G188),"")</f>
        <v>0</v>
      </c>
      <c r="I188" s="11"/>
      <c r="J188" s="14"/>
    </row>
    <row r="189" spans="1:10">
      <c r="A189" s="10"/>
      <c r="B189" s="11"/>
      <c r="C189" s="11"/>
      <c r="D189" s="11"/>
      <c r="E189" s="12"/>
      <c r="F189" s="12"/>
      <c r="G189" s="12"/>
      <c r="H189" s="13">
        <f>IF(OR(E189&gt;0,F189&gt;0,G189&gt;0),SUM(E189:G189),"")</f>
        <v>0</v>
      </c>
      <c r="I189" s="11"/>
      <c r="J189" s="14"/>
    </row>
    <row r="190" spans="1:10">
      <c r="A190" s="10"/>
      <c r="B190" s="11"/>
      <c r="C190" s="11"/>
      <c r="D190" s="11"/>
      <c r="E190" s="12"/>
      <c r="F190" s="12"/>
      <c r="G190" s="12"/>
      <c r="H190" s="13">
        <f>IF(OR(E190&gt;0,F190&gt;0,G190&gt;0),SUM(E190:G190),"")</f>
        <v>0</v>
      </c>
      <c r="I190" s="11"/>
      <c r="J190" s="14"/>
    </row>
    <row r="191" spans="1:10">
      <c r="A191" s="10"/>
      <c r="B191" s="11"/>
      <c r="C191" s="11"/>
      <c r="D191" s="11"/>
      <c r="E191" s="12"/>
      <c r="F191" s="12"/>
      <c r="G191" s="12"/>
      <c r="H191" s="13">
        <f>IF(OR(E191&gt;0,F191&gt;0,G191&gt;0),SUM(E191:G191),"")</f>
        <v>0</v>
      </c>
      <c r="I191" s="11"/>
      <c r="J191" s="14"/>
    </row>
    <row r="192" spans="1:10">
      <c r="A192" s="10"/>
      <c r="B192" s="11"/>
      <c r="C192" s="11"/>
      <c r="D192" s="11"/>
      <c r="E192" s="12"/>
      <c r="F192" s="12"/>
      <c r="G192" s="12"/>
      <c r="H192" s="13">
        <f>IF(OR(E192&gt;0,F192&gt;0,G192&gt;0),SUM(E192:G192),"")</f>
        <v>0</v>
      </c>
      <c r="I192" s="11"/>
      <c r="J192" s="14"/>
    </row>
    <row r="193" spans="1:10">
      <c r="A193" s="10"/>
      <c r="B193" s="11"/>
      <c r="C193" s="11"/>
      <c r="D193" s="11"/>
      <c r="E193" s="12"/>
      <c r="F193" s="12"/>
      <c r="G193" s="12"/>
      <c r="H193" s="13">
        <f>IF(OR(E193&gt;0,F193&gt;0,G193&gt;0),SUM(E193:G193),"")</f>
        <v>0</v>
      </c>
      <c r="I193" s="11"/>
      <c r="J193" s="14"/>
    </row>
    <row r="194" spans="1:10">
      <c r="A194" s="10"/>
      <c r="B194" s="11"/>
      <c r="C194" s="11"/>
      <c r="D194" s="11"/>
      <c r="E194" s="12"/>
      <c r="F194" s="12"/>
      <c r="G194" s="12"/>
      <c r="H194" s="13">
        <f>IF(OR(E194&gt;0,F194&gt;0,G194&gt;0),SUM(E194:G194),"")</f>
        <v>0</v>
      </c>
      <c r="I194" s="11"/>
      <c r="J194" s="14"/>
    </row>
    <row r="195" spans="1:10">
      <c r="A195" s="10"/>
      <c r="B195" s="11"/>
      <c r="C195" s="11"/>
      <c r="D195" s="11"/>
      <c r="E195" s="12"/>
      <c r="F195" s="12"/>
      <c r="G195" s="12"/>
      <c r="H195" s="13">
        <f>IF(OR(E195&gt;0,F195&gt;0,G195&gt;0),SUM(E195:G195),"")</f>
        <v>0</v>
      </c>
      <c r="I195" s="11"/>
      <c r="J195" s="14"/>
    </row>
    <row r="196" spans="1:10">
      <c r="A196" s="10"/>
      <c r="B196" s="11"/>
      <c r="C196" s="11"/>
      <c r="D196" s="11"/>
      <c r="E196" s="12"/>
      <c r="F196" s="12"/>
      <c r="G196" s="12"/>
      <c r="H196" s="13">
        <f>IF(OR(E196&gt;0,F196&gt;0,G196&gt;0),SUM(E196:G196),"")</f>
        <v>0</v>
      </c>
      <c r="I196" s="11"/>
      <c r="J196" s="14"/>
    </row>
    <row r="197" spans="1:10">
      <c r="A197" s="10"/>
      <c r="B197" s="11"/>
      <c r="C197" s="11"/>
      <c r="D197" s="11"/>
      <c r="E197" s="12"/>
      <c r="F197" s="12"/>
      <c r="G197" s="12"/>
      <c r="H197" s="13">
        <f>IF(OR(E197&gt;0,F197&gt;0,G197&gt;0),SUM(E197:G197),"")</f>
        <v>0</v>
      </c>
      <c r="I197" s="11"/>
      <c r="J197" s="14"/>
    </row>
    <row r="198" spans="1:10">
      <c r="A198" s="10"/>
      <c r="B198" s="11"/>
      <c r="C198" s="11"/>
      <c r="D198" s="11"/>
      <c r="E198" s="12"/>
      <c r="F198" s="12"/>
      <c r="G198" s="12"/>
      <c r="H198" s="13">
        <f>IF(OR(E198&gt;0,F198&gt;0,G198&gt;0),SUM(E198:G198),"")</f>
        <v>0</v>
      </c>
      <c r="I198" s="11"/>
      <c r="J198" s="14"/>
    </row>
    <row r="199" spans="1:10">
      <c r="A199" s="10"/>
      <c r="B199" s="11"/>
      <c r="C199" s="11"/>
      <c r="D199" s="11"/>
      <c r="E199" s="12"/>
      <c r="F199" s="12"/>
      <c r="G199" s="12"/>
      <c r="H199" s="13">
        <f>IF(OR(E199&gt;0,F199&gt;0,G199&gt;0),SUM(E199:G199),"")</f>
        <v>0</v>
      </c>
      <c r="I199" s="11"/>
      <c r="J199" s="14"/>
    </row>
    <row r="200" spans="1:10">
      <c r="A200" s="10"/>
      <c r="B200" s="11"/>
      <c r="C200" s="11"/>
      <c r="D200" s="11"/>
      <c r="E200" s="12"/>
      <c r="F200" s="12"/>
      <c r="G200" s="12"/>
      <c r="H200" s="13">
        <f>IF(OR(E200&gt;0,F200&gt;0,G200&gt;0),SUM(E200:G200),"")</f>
        <v>0</v>
      </c>
      <c r="I200" s="11"/>
      <c r="J200" s="14"/>
    </row>
    <row r="201" spans="1:10">
      <c r="A201" s="10"/>
      <c r="B201" s="11"/>
      <c r="C201" s="11"/>
      <c r="D201" s="11"/>
      <c r="E201" s="12"/>
      <c r="F201" s="12"/>
      <c r="G201" s="12"/>
      <c r="H201" s="13">
        <f>IF(OR(E201&gt;0,F201&gt;0,G201&gt;0),SUM(E201:G201),"")</f>
        <v>0</v>
      </c>
      <c r="I201" s="11"/>
      <c r="J201" s="14"/>
    </row>
    <row r="202" spans="1:10">
      <c r="A202" s="10"/>
      <c r="B202" s="11"/>
      <c r="C202" s="11"/>
      <c r="D202" s="11"/>
      <c r="E202" s="12"/>
      <c r="F202" s="12"/>
      <c r="G202" s="12"/>
      <c r="H202" s="13">
        <f>IF(OR(E202&gt;0,F202&gt;0,G202&gt;0),SUM(E202:G202),"")</f>
        <v>0</v>
      </c>
      <c r="I202" s="11"/>
      <c r="J202" s="14"/>
    </row>
  </sheetData>
  <autoFilter ref="A2:J202"/>
  <mergeCells count="1">
    <mergeCell ref="A1:J1"/>
  </mergeCells>
  <dataValidations count="7">
    <dataValidation type="list" allowBlank="1" showInputMessage="1" showErrorMessage="1" errorTitle="Erreur" error="Choisir AM ou PM" promptTitle="Demi-journee" prompt="AM ou PM" sqref="B3:B202">
      <formula1>lst_dj</formula1>
    </dataValidation>
    <dataValidation type="list" allowBlank="1" showInputMessage="1" showErrorMessage="1" errorTitle="Erreur" error="RTR non reconnu. Verifiez CONFIG." promptTitle="RTR" prompt="Choisir un RTR dans la liste" sqref="C3:C202">
      <formula1>lst_rtr</formula1>
    </dataValidation>
    <dataValidation type="list" allowBlank="1" showInputMessage="1" showErrorMessage="1" errorTitle="Erreur" error="Batiment non reconnu. Verifiez CONFIG." promptTitle="Batiment" prompt="Choisir un batiment" sqref="D3:D202">
      <formula1>lst_batiments</formula1>
    </dataValidation>
    <dataValidation type="list" allowBlank="1" showInputMessage="1" showErrorMessage="1" errorTitle="Erreur" error="Intervenant non reconnu. Verifiez CONFIG." promptTitle="Intervenant" prompt="Choisir un intervenant" sqref="I3:I202">
      <formula1>lst_intervenants</formula1>
    </dataValidation>
    <dataValidation type="decimal" operator="greaterThanOrEqual" allowBlank="1" showInputMessage="1" showErrorMessage="1" errorTitle="Erreur" error="La dose doit etre &gt;= 0" promptTitle="Dose (mSv)" prompt="Entrer une dose &gt;= 0" sqref="E3:E202">
      <formula1>0</formula1>
    </dataValidation>
    <dataValidation type="decimal" operator="greaterThanOrEqual" allowBlank="1" showInputMessage="1" showErrorMessage="1" errorTitle="Erreur" error="La dose doit etre &gt;= 0" promptTitle="Dose (mSv)" prompt="Entrer une dose &gt;= 0" sqref="F3:F202">
      <formula1>0</formula1>
    </dataValidation>
    <dataValidation type="decimal" operator="greaterThanOrEqual" allowBlank="1" showInputMessage="1" showErrorMessage="1" errorTitle="Erreur" error="La dose doit etre &gt;= 0" promptTitle="Dose (mSv)" prompt="Entrer une dose &gt;= 0" sqref="G3:G202">
      <formula1>0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ED7D31"/>
  </sheetPr>
  <dimension ref="A1:F33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15.7109375" customWidth="1"/>
    <col min="2" max="3" width="16.7109375" customWidth="1"/>
    <col min="4" max="4" width="14.7109375" customWidth="1"/>
    <col min="5" max="5" width="13.7109375" customWidth="1"/>
    <col min="6" max="6" width="10.7109375" customWidth="1"/>
  </cols>
  <sheetData>
    <row r="1" spans="1:6" ht="30" customHeight="1">
      <c r="A1" s="1" t="s">
        <v>38</v>
      </c>
      <c r="B1" s="1"/>
      <c r="C1" s="1"/>
      <c r="D1" s="1"/>
      <c r="E1" s="1"/>
      <c r="F1" s="1"/>
    </row>
    <row r="2" spans="1:6">
      <c r="A2" s="2" t="s">
        <v>3</v>
      </c>
      <c r="B2" s="2" t="s">
        <v>39</v>
      </c>
      <c r="C2" s="2" t="s">
        <v>40</v>
      </c>
      <c r="D2" s="2" t="s">
        <v>41</v>
      </c>
      <c r="E2" s="2" t="s">
        <v>42</v>
      </c>
      <c r="F2" s="2" t="s">
        <v>43</v>
      </c>
    </row>
    <row r="3" spans="1:6">
      <c r="A3" s="15">
        <f>IF(CONFIG!C5&lt;&gt;"",CONFIG!C5,"")</f>
        <v>0</v>
      </c>
      <c r="B3" s="12">
        <v>1.716</v>
      </c>
      <c r="C3" s="13">
        <f>IF(A3="",0,SUMIFS(SAISIE!$H$3:$H$202,SAISIE!$C$3:$C$202,A3))</f>
        <v>0</v>
      </c>
      <c r="D3" s="13">
        <f>IF(OR(A3="",B3=0),"",B3-C3)</f>
        <v>0</v>
      </c>
      <c r="E3" s="16">
        <f>IF(OR(A3="",B3=0),"",C3/B3)</f>
        <v>0</v>
      </c>
      <c r="F3" s="17">
        <f>IF(A3="",0,COUNTIF(SAISIE!$C$3:$C$202,A3))</f>
        <v>0</v>
      </c>
    </row>
    <row r="4" spans="1:6">
      <c r="A4" s="15">
        <f>IF(CONFIG!C6&lt;&gt;"",CONFIG!C6,"")</f>
        <v>0</v>
      </c>
      <c r="B4" s="12"/>
      <c r="C4" s="13">
        <f>IF(A4="",0,SUMIFS(SAISIE!$H$3:$H$202,SAISIE!$C$3:$C$202,A4))</f>
        <v>0</v>
      </c>
      <c r="D4" s="13">
        <f>IF(OR(A4="",B4=0),"",B4-C4)</f>
        <v>0</v>
      </c>
      <c r="E4" s="16">
        <f>IF(OR(A4="",B4=0),"",C4/B4)</f>
        <v>0</v>
      </c>
      <c r="F4" s="17">
        <f>IF(A4="",0,COUNTIF(SAISIE!$C$3:$C$202,A4))</f>
        <v>0</v>
      </c>
    </row>
    <row r="5" spans="1:6">
      <c r="A5" s="15">
        <f>IF(CONFIG!C7&lt;&gt;"",CONFIG!C7,"")</f>
        <v>0</v>
      </c>
      <c r="B5" s="12"/>
      <c r="C5" s="13">
        <f>IF(A5="",0,SUMIFS(SAISIE!$H$3:$H$202,SAISIE!$C$3:$C$202,A5))</f>
        <v>0</v>
      </c>
      <c r="D5" s="13">
        <f>IF(OR(A5="",B5=0),"",B5-C5)</f>
        <v>0</v>
      </c>
      <c r="E5" s="16">
        <f>IF(OR(A5="",B5=0),"",C5/B5)</f>
        <v>0</v>
      </c>
      <c r="F5" s="17">
        <f>IF(A5="",0,COUNTIF(SAISIE!$C$3:$C$202,A5))</f>
        <v>0</v>
      </c>
    </row>
    <row r="6" spans="1:6">
      <c r="A6" s="15">
        <f>IF(CONFIG!C8&lt;&gt;"",CONFIG!C8,"")</f>
        <v>0</v>
      </c>
      <c r="B6" s="12"/>
      <c r="C6" s="13">
        <f>IF(A6="",0,SUMIFS(SAISIE!$H$3:$H$202,SAISIE!$C$3:$C$202,A6))</f>
        <v>0</v>
      </c>
      <c r="D6" s="13">
        <f>IF(OR(A6="",B6=0),"",B6-C6)</f>
        <v>0</v>
      </c>
      <c r="E6" s="16">
        <f>IF(OR(A6="",B6=0),"",C6/B6)</f>
        <v>0</v>
      </c>
      <c r="F6" s="17">
        <f>IF(A6="",0,COUNTIF(SAISIE!$C$3:$C$202,A6))</f>
        <v>0</v>
      </c>
    </row>
    <row r="7" spans="1:6">
      <c r="A7" s="15">
        <f>IF(CONFIG!C9&lt;&gt;"",CONFIG!C9,"")</f>
        <v>0</v>
      </c>
      <c r="B7" s="12"/>
      <c r="C7" s="13">
        <f>IF(A7="",0,SUMIFS(SAISIE!$H$3:$H$202,SAISIE!$C$3:$C$202,A7))</f>
        <v>0</v>
      </c>
      <c r="D7" s="13">
        <f>IF(OR(A7="",B7=0),"",B7-C7)</f>
        <v>0</v>
      </c>
      <c r="E7" s="16">
        <f>IF(OR(A7="",B7=0),"",C7/B7)</f>
        <v>0</v>
      </c>
      <c r="F7" s="17">
        <f>IF(A7="",0,COUNTIF(SAISIE!$C$3:$C$202,A7))</f>
        <v>0</v>
      </c>
    </row>
    <row r="8" spans="1:6">
      <c r="A8" s="15">
        <f>IF(CONFIG!C10&lt;&gt;"",CONFIG!C10,"")</f>
        <v>0</v>
      </c>
      <c r="B8" s="12"/>
      <c r="C8" s="13">
        <f>IF(A8="",0,SUMIFS(SAISIE!$H$3:$H$202,SAISIE!$C$3:$C$202,A8))</f>
        <v>0</v>
      </c>
      <c r="D8" s="13">
        <f>IF(OR(A8="",B8=0),"",B8-C8)</f>
        <v>0</v>
      </c>
      <c r="E8" s="16">
        <f>IF(OR(A8="",B8=0),"",C8/B8)</f>
        <v>0</v>
      </c>
      <c r="F8" s="17">
        <f>IF(A8="",0,COUNTIF(SAISIE!$C$3:$C$202,A8))</f>
        <v>0</v>
      </c>
    </row>
    <row r="9" spans="1:6">
      <c r="A9" s="15">
        <f>IF(CONFIG!C11&lt;&gt;"",CONFIG!C11,"")</f>
        <v>0</v>
      </c>
      <c r="B9" s="12"/>
      <c r="C9" s="13">
        <f>IF(A9="",0,SUMIFS(SAISIE!$H$3:$H$202,SAISIE!$C$3:$C$202,A9))</f>
        <v>0</v>
      </c>
      <c r="D9" s="13">
        <f>IF(OR(A9="",B9=0),"",B9-C9)</f>
        <v>0</v>
      </c>
      <c r="E9" s="16">
        <f>IF(OR(A9="",B9=0),"",C9/B9)</f>
        <v>0</v>
      </c>
      <c r="F9" s="17">
        <f>IF(A9="",0,COUNTIF(SAISIE!$C$3:$C$202,A9))</f>
        <v>0</v>
      </c>
    </row>
    <row r="10" spans="1:6">
      <c r="A10" s="15">
        <f>IF(CONFIG!C12&lt;&gt;"",CONFIG!C12,"")</f>
        <v>0</v>
      </c>
      <c r="B10" s="12"/>
      <c r="C10" s="13">
        <f>IF(A10="",0,SUMIFS(SAISIE!$H$3:$H$202,SAISIE!$C$3:$C$202,A10))</f>
        <v>0</v>
      </c>
      <c r="D10" s="13">
        <f>IF(OR(A10="",B10=0),"",B10-C10)</f>
        <v>0</v>
      </c>
      <c r="E10" s="16">
        <f>IF(OR(A10="",B10=0),"",C10/B10)</f>
        <v>0</v>
      </c>
      <c r="F10" s="17">
        <f>IF(A10="",0,COUNTIF(SAISIE!$C$3:$C$202,A10))</f>
        <v>0</v>
      </c>
    </row>
    <row r="11" spans="1:6">
      <c r="A11" s="15">
        <f>IF(CONFIG!C13&lt;&gt;"",CONFIG!C13,"")</f>
        <v>0</v>
      </c>
      <c r="B11" s="12"/>
      <c r="C11" s="13">
        <f>IF(A11="",0,SUMIFS(SAISIE!$H$3:$H$202,SAISIE!$C$3:$C$202,A11))</f>
        <v>0</v>
      </c>
      <c r="D11" s="13">
        <f>IF(OR(A11="",B11=0),"",B11-C11)</f>
        <v>0</v>
      </c>
      <c r="E11" s="16">
        <f>IF(OR(A11="",B11=0),"",C11/B11)</f>
        <v>0</v>
      </c>
      <c r="F11" s="17">
        <f>IF(A11="",0,COUNTIF(SAISIE!$C$3:$C$202,A11))</f>
        <v>0</v>
      </c>
    </row>
    <row r="12" spans="1:6">
      <c r="A12" s="15">
        <f>IF(CONFIG!C14&lt;&gt;"",CONFIG!C14,"")</f>
        <v>0</v>
      </c>
      <c r="B12" s="12"/>
      <c r="C12" s="13">
        <f>IF(A12="",0,SUMIFS(SAISIE!$H$3:$H$202,SAISIE!$C$3:$C$202,A12))</f>
        <v>0</v>
      </c>
      <c r="D12" s="13">
        <f>IF(OR(A12="",B12=0),"",B12-C12)</f>
        <v>0</v>
      </c>
      <c r="E12" s="16">
        <f>IF(OR(A12="",B12=0),"",C12/B12)</f>
        <v>0</v>
      </c>
      <c r="F12" s="17">
        <f>IF(A12="",0,COUNTIF(SAISIE!$C$3:$C$202,A12))</f>
        <v>0</v>
      </c>
    </row>
    <row r="13" spans="1:6">
      <c r="A13" s="15">
        <f>IF(CONFIG!C15&lt;&gt;"",CONFIG!C15,"")</f>
        <v>0</v>
      </c>
      <c r="B13" s="12"/>
      <c r="C13" s="13">
        <f>IF(A13="",0,SUMIFS(SAISIE!$H$3:$H$202,SAISIE!$C$3:$C$202,A13))</f>
        <v>0</v>
      </c>
      <c r="D13" s="13">
        <f>IF(OR(A13="",B13=0),"",B13-C13)</f>
        <v>0</v>
      </c>
      <c r="E13" s="16">
        <f>IF(OR(A13="",B13=0),"",C13/B13)</f>
        <v>0</v>
      </c>
      <c r="F13" s="17">
        <f>IF(A13="",0,COUNTIF(SAISIE!$C$3:$C$202,A13))</f>
        <v>0</v>
      </c>
    </row>
    <row r="14" spans="1:6">
      <c r="A14" s="15">
        <f>IF(CONFIG!C16&lt;&gt;"",CONFIG!C16,"")</f>
        <v>0</v>
      </c>
      <c r="B14" s="12"/>
      <c r="C14" s="13">
        <f>IF(A14="",0,SUMIFS(SAISIE!$H$3:$H$202,SAISIE!$C$3:$C$202,A14))</f>
        <v>0</v>
      </c>
      <c r="D14" s="13">
        <f>IF(OR(A14="",B14=0),"",B14-C14)</f>
        <v>0</v>
      </c>
      <c r="E14" s="16">
        <f>IF(OR(A14="",B14=0),"",C14/B14)</f>
        <v>0</v>
      </c>
      <c r="F14" s="17">
        <f>IF(A14="",0,COUNTIF(SAISIE!$C$3:$C$202,A14))</f>
        <v>0</v>
      </c>
    </row>
    <row r="15" spans="1:6">
      <c r="A15" s="15">
        <f>IF(CONFIG!C17&lt;&gt;"",CONFIG!C17,"")</f>
        <v>0</v>
      </c>
      <c r="B15" s="12"/>
      <c r="C15" s="13">
        <f>IF(A15="",0,SUMIFS(SAISIE!$H$3:$H$202,SAISIE!$C$3:$C$202,A15))</f>
        <v>0</v>
      </c>
      <c r="D15" s="13">
        <f>IF(OR(A15="",B15=0),"",B15-C15)</f>
        <v>0</v>
      </c>
      <c r="E15" s="16">
        <f>IF(OR(A15="",B15=0),"",C15/B15)</f>
        <v>0</v>
      </c>
      <c r="F15" s="17">
        <f>IF(A15="",0,COUNTIF(SAISIE!$C$3:$C$202,A15))</f>
        <v>0</v>
      </c>
    </row>
    <row r="16" spans="1:6">
      <c r="A16" s="15">
        <f>IF(CONFIG!C18&lt;&gt;"",CONFIG!C18,"")</f>
        <v>0</v>
      </c>
      <c r="B16" s="12"/>
      <c r="C16" s="13">
        <f>IF(A16="",0,SUMIFS(SAISIE!$H$3:$H$202,SAISIE!$C$3:$C$202,A16))</f>
        <v>0</v>
      </c>
      <c r="D16" s="13">
        <f>IF(OR(A16="",B16=0),"",B16-C16)</f>
        <v>0</v>
      </c>
      <c r="E16" s="16">
        <f>IF(OR(A16="",B16=0),"",C16/B16)</f>
        <v>0</v>
      </c>
      <c r="F16" s="17">
        <f>IF(A16="",0,COUNTIF(SAISIE!$C$3:$C$202,A16))</f>
        <v>0</v>
      </c>
    </row>
    <row r="17" spans="1:6">
      <c r="A17" s="15">
        <f>IF(CONFIG!C19&lt;&gt;"",CONFIG!C19,"")</f>
        <v>0</v>
      </c>
      <c r="B17" s="12"/>
      <c r="C17" s="13">
        <f>IF(A17="",0,SUMIFS(SAISIE!$H$3:$H$202,SAISIE!$C$3:$C$202,A17))</f>
        <v>0</v>
      </c>
      <c r="D17" s="13">
        <f>IF(OR(A17="",B17=0),"",B17-C17)</f>
        <v>0</v>
      </c>
      <c r="E17" s="16">
        <f>IF(OR(A17="",B17=0),"",C17/B17)</f>
        <v>0</v>
      </c>
      <c r="F17" s="17">
        <f>IF(A17="",0,COUNTIF(SAISIE!$C$3:$C$202,A17))</f>
        <v>0</v>
      </c>
    </row>
    <row r="18" spans="1:6">
      <c r="A18" s="15">
        <f>IF(CONFIG!C20&lt;&gt;"",CONFIG!C20,"")</f>
        <v>0</v>
      </c>
      <c r="B18" s="12"/>
      <c r="C18" s="13">
        <f>IF(A18="",0,SUMIFS(SAISIE!$H$3:$H$202,SAISIE!$C$3:$C$202,A18))</f>
        <v>0</v>
      </c>
      <c r="D18" s="13">
        <f>IF(OR(A18="",B18=0),"",B18-C18)</f>
        <v>0</v>
      </c>
      <c r="E18" s="16">
        <f>IF(OR(A18="",B18=0),"",C18/B18)</f>
        <v>0</v>
      </c>
      <c r="F18" s="17">
        <f>IF(A18="",0,COUNTIF(SAISIE!$C$3:$C$202,A18))</f>
        <v>0</v>
      </c>
    </row>
    <row r="19" spans="1:6">
      <c r="A19" s="15">
        <f>IF(CONFIG!C21&lt;&gt;"",CONFIG!C21,"")</f>
        <v>0</v>
      </c>
      <c r="B19" s="12"/>
      <c r="C19" s="13">
        <f>IF(A19="",0,SUMIFS(SAISIE!$H$3:$H$202,SAISIE!$C$3:$C$202,A19))</f>
        <v>0</v>
      </c>
      <c r="D19" s="13">
        <f>IF(OR(A19="",B19=0),"",B19-C19)</f>
        <v>0</v>
      </c>
      <c r="E19" s="16">
        <f>IF(OR(A19="",B19=0),"",C19/B19)</f>
        <v>0</v>
      </c>
      <c r="F19" s="17">
        <f>IF(A19="",0,COUNTIF(SAISIE!$C$3:$C$202,A19))</f>
        <v>0</v>
      </c>
    </row>
    <row r="20" spans="1:6">
      <c r="A20" s="15">
        <f>IF(CONFIG!C22&lt;&gt;"",CONFIG!C22,"")</f>
        <v>0</v>
      </c>
      <c r="B20" s="12"/>
      <c r="C20" s="13">
        <f>IF(A20="",0,SUMIFS(SAISIE!$H$3:$H$202,SAISIE!$C$3:$C$202,A20))</f>
        <v>0</v>
      </c>
      <c r="D20" s="13">
        <f>IF(OR(A20="",B20=0),"",B20-C20)</f>
        <v>0</v>
      </c>
      <c r="E20" s="16">
        <f>IF(OR(A20="",B20=0),"",C20/B20)</f>
        <v>0</v>
      </c>
      <c r="F20" s="17">
        <f>IF(A20="",0,COUNTIF(SAISIE!$C$3:$C$202,A20))</f>
        <v>0</v>
      </c>
    </row>
    <row r="21" spans="1:6">
      <c r="A21" s="15">
        <f>IF(CONFIG!C23&lt;&gt;"",CONFIG!C23,"")</f>
        <v>0</v>
      </c>
      <c r="B21" s="12"/>
      <c r="C21" s="13">
        <f>IF(A21="",0,SUMIFS(SAISIE!$H$3:$H$202,SAISIE!$C$3:$C$202,A21))</f>
        <v>0</v>
      </c>
      <c r="D21" s="13">
        <f>IF(OR(A21="",B21=0),"",B21-C21)</f>
        <v>0</v>
      </c>
      <c r="E21" s="16">
        <f>IF(OR(A21="",B21=0),"",C21/B21)</f>
        <v>0</v>
      </c>
      <c r="F21" s="17">
        <f>IF(A21="",0,COUNTIF(SAISIE!$C$3:$C$202,A21))</f>
        <v>0</v>
      </c>
    </row>
    <row r="22" spans="1:6">
      <c r="A22" s="15">
        <f>IF(CONFIG!C24&lt;&gt;"",CONFIG!C24,"")</f>
        <v>0</v>
      </c>
      <c r="B22" s="12"/>
      <c r="C22" s="13">
        <f>IF(A22="",0,SUMIFS(SAISIE!$H$3:$H$202,SAISIE!$C$3:$C$202,A22))</f>
        <v>0</v>
      </c>
      <c r="D22" s="13">
        <f>IF(OR(A22="",B22=0),"",B22-C22)</f>
        <v>0</v>
      </c>
      <c r="E22" s="16">
        <f>IF(OR(A22="",B22=0),"",C22/B22)</f>
        <v>0</v>
      </c>
      <c r="F22" s="17">
        <f>IF(A22="",0,COUNTIF(SAISIE!$C$3:$C$202,A22))</f>
        <v>0</v>
      </c>
    </row>
    <row r="23" spans="1:6">
      <c r="A23" s="15">
        <f>IF(CONFIG!C25&lt;&gt;"",CONFIG!C25,"")</f>
        <v>0</v>
      </c>
      <c r="B23" s="12"/>
      <c r="C23" s="13">
        <f>IF(A23="",0,SUMIFS(SAISIE!$H$3:$H$202,SAISIE!$C$3:$C$202,A23))</f>
        <v>0</v>
      </c>
      <c r="D23" s="13">
        <f>IF(OR(A23="",B23=0),"",B23-C23)</f>
        <v>0</v>
      </c>
      <c r="E23" s="16">
        <f>IF(OR(A23="",B23=0),"",C23/B23)</f>
        <v>0</v>
      </c>
      <c r="F23" s="17">
        <f>IF(A23="",0,COUNTIF(SAISIE!$C$3:$C$202,A23))</f>
        <v>0</v>
      </c>
    </row>
    <row r="24" spans="1:6">
      <c r="A24" s="15">
        <f>IF(CONFIG!C26&lt;&gt;"",CONFIG!C26,"")</f>
        <v>0</v>
      </c>
      <c r="B24" s="12"/>
      <c r="C24" s="13">
        <f>IF(A24="",0,SUMIFS(SAISIE!$H$3:$H$202,SAISIE!$C$3:$C$202,A24))</f>
        <v>0</v>
      </c>
      <c r="D24" s="13">
        <f>IF(OR(A24="",B24=0),"",B24-C24)</f>
        <v>0</v>
      </c>
      <c r="E24" s="16">
        <f>IF(OR(A24="",B24=0),"",C24/B24)</f>
        <v>0</v>
      </c>
      <c r="F24" s="17">
        <f>IF(A24="",0,COUNTIF(SAISIE!$C$3:$C$202,A24))</f>
        <v>0</v>
      </c>
    </row>
    <row r="25" spans="1:6">
      <c r="A25" s="15">
        <f>IF(CONFIG!C27&lt;&gt;"",CONFIG!C27,"")</f>
        <v>0</v>
      </c>
      <c r="B25" s="12"/>
      <c r="C25" s="13">
        <f>IF(A25="",0,SUMIFS(SAISIE!$H$3:$H$202,SAISIE!$C$3:$C$202,A25))</f>
        <v>0</v>
      </c>
      <c r="D25" s="13">
        <f>IF(OR(A25="",B25=0),"",B25-C25)</f>
        <v>0</v>
      </c>
      <c r="E25" s="16">
        <f>IF(OR(A25="",B25=0),"",C25/B25)</f>
        <v>0</v>
      </c>
      <c r="F25" s="17">
        <f>IF(A25="",0,COUNTIF(SAISIE!$C$3:$C$202,A25))</f>
        <v>0</v>
      </c>
    </row>
    <row r="26" spans="1:6">
      <c r="A26" s="15">
        <f>IF(CONFIG!C28&lt;&gt;"",CONFIG!C28,"")</f>
        <v>0</v>
      </c>
      <c r="B26" s="12"/>
      <c r="C26" s="13">
        <f>IF(A26="",0,SUMIFS(SAISIE!$H$3:$H$202,SAISIE!$C$3:$C$202,A26))</f>
        <v>0</v>
      </c>
      <c r="D26" s="13">
        <f>IF(OR(A26="",B26=0),"",B26-C26)</f>
        <v>0</v>
      </c>
      <c r="E26" s="16">
        <f>IF(OR(A26="",B26=0),"",C26/B26)</f>
        <v>0</v>
      </c>
      <c r="F26" s="17">
        <f>IF(A26="",0,COUNTIF(SAISIE!$C$3:$C$202,A26))</f>
        <v>0</v>
      </c>
    </row>
    <row r="27" spans="1:6">
      <c r="A27" s="15">
        <f>IF(CONFIG!C29&lt;&gt;"",CONFIG!C29,"")</f>
        <v>0</v>
      </c>
      <c r="B27" s="12"/>
      <c r="C27" s="13">
        <f>IF(A27="",0,SUMIFS(SAISIE!$H$3:$H$202,SAISIE!$C$3:$C$202,A27))</f>
        <v>0</v>
      </c>
      <c r="D27" s="13">
        <f>IF(OR(A27="",B27=0),"",B27-C27)</f>
        <v>0</v>
      </c>
      <c r="E27" s="16">
        <f>IF(OR(A27="",B27=0),"",C27/B27)</f>
        <v>0</v>
      </c>
      <c r="F27" s="17">
        <f>IF(A27="",0,COUNTIF(SAISIE!$C$3:$C$202,A27))</f>
        <v>0</v>
      </c>
    </row>
    <row r="28" spans="1:6">
      <c r="A28" s="15">
        <f>IF(CONFIG!C30&lt;&gt;"",CONFIG!C30,"")</f>
        <v>0</v>
      </c>
      <c r="B28" s="12"/>
      <c r="C28" s="13">
        <f>IF(A28="",0,SUMIFS(SAISIE!$H$3:$H$202,SAISIE!$C$3:$C$202,A28))</f>
        <v>0</v>
      </c>
      <c r="D28" s="13">
        <f>IF(OR(A28="",B28=0),"",B28-C28)</f>
        <v>0</v>
      </c>
      <c r="E28" s="16">
        <f>IF(OR(A28="",B28=0),"",C28/B28)</f>
        <v>0</v>
      </c>
      <c r="F28" s="17">
        <f>IF(A28="",0,COUNTIF(SAISIE!$C$3:$C$202,A28))</f>
        <v>0</v>
      </c>
    </row>
    <row r="29" spans="1:6">
      <c r="A29" s="15">
        <f>IF(CONFIG!C31&lt;&gt;"",CONFIG!C31,"")</f>
        <v>0</v>
      </c>
      <c r="B29" s="12"/>
      <c r="C29" s="13">
        <f>IF(A29="",0,SUMIFS(SAISIE!$H$3:$H$202,SAISIE!$C$3:$C$202,A29))</f>
        <v>0</v>
      </c>
      <c r="D29" s="13">
        <f>IF(OR(A29="",B29=0),"",B29-C29)</f>
        <v>0</v>
      </c>
      <c r="E29" s="16">
        <f>IF(OR(A29="",B29=0),"",C29/B29)</f>
        <v>0</v>
      </c>
      <c r="F29" s="17">
        <f>IF(A29="",0,COUNTIF(SAISIE!$C$3:$C$202,A29))</f>
        <v>0</v>
      </c>
    </row>
    <row r="30" spans="1:6">
      <c r="A30" s="15">
        <f>IF(CONFIG!C32&lt;&gt;"",CONFIG!C32,"")</f>
        <v>0</v>
      </c>
      <c r="B30" s="12"/>
      <c r="C30" s="13">
        <f>IF(A30="",0,SUMIFS(SAISIE!$H$3:$H$202,SAISIE!$C$3:$C$202,A30))</f>
        <v>0</v>
      </c>
      <c r="D30" s="13">
        <f>IF(OR(A30="",B30=0),"",B30-C30)</f>
        <v>0</v>
      </c>
      <c r="E30" s="16">
        <f>IF(OR(A30="",B30=0),"",C30/B30)</f>
        <v>0</v>
      </c>
      <c r="F30" s="17">
        <f>IF(A30="",0,COUNTIF(SAISIE!$C$3:$C$202,A30))</f>
        <v>0</v>
      </c>
    </row>
    <row r="31" spans="1:6">
      <c r="A31" s="15">
        <f>IF(CONFIG!C33&lt;&gt;"",CONFIG!C33,"")</f>
        <v>0</v>
      </c>
      <c r="B31" s="12"/>
      <c r="C31" s="13">
        <f>IF(A31="",0,SUMIFS(SAISIE!$H$3:$H$202,SAISIE!$C$3:$C$202,A31))</f>
        <v>0</v>
      </c>
      <c r="D31" s="13">
        <f>IF(OR(A31="",B31=0),"",B31-C31)</f>
        <v>0</v>
      </c>
      <c r="E31" s="16">
        <f>IF(OR(A31="",B31=0),"",C31/B31)</f>
        <v>0</v>
      </c>
      <c r="F31" s="17">
        <f>IF(A31="",0,COUNTIF(SAISIE!$C$3:$C$202,A31))</f>
        <v>0</v>
      </c>
    </row>
    <row r="32" spans="1:6">
      <c r="A32" s="15">
        <f>IF(CONFIG!C34&lt;&gt;"",CONFIG!C34,"")</f>
        <v>0</v>
      </c>
      <c r="B32" s="12"/>
      <c r="C32" s="13">
        <f>IF(A32="",0,SUMIFS(SAISIE!$H$3:$H$202,SAISIE!$C$3:$C$202,A32))</f>
        <v>0</v>
      </c>
      <c r="D32" s="13">
        <f>IF(OR(A32="",B32=0),"",B32-C32)</f>
        <v>0</v>
      </c>
      <c r="E32" s="16">
        <f>IF(OR(A32="",B32=0),"",C32/B32)</f>
        <v>0</v>
      </c>
      <c r="F32" s="17">
        <f>IF(A32="",0,COUNTIF(SAISIE!$C$3:$C$202,A32))</f>
        <v>0</v>
      </c>
    </row>
    <row r="33" spans="1:6">
      <c r="A33" s="18" t="s">
        <v>44</v>
      </c>
      <c r="B33" s="18">
        <f>SUM(B3:B32)</f>
        <v>0</v>
      </c>
      <c r="C33" s="18">
        <f>SUM(C3:C32)</f>
        <v>0</v>
      </c>
      <c r="D33" s="18">
        <f>IFERROR(B33-C33,"")</f>
        <v>0</v>
      </c>
      <c r="E33" s="19">
        <f>IFERROR(C33/B33,"")</f>
        <v>0</v>
      </c>
      <c r="F33" s="20">
        <f>SUM(F3:F32)</f>
        <v>0</v>
      </c>
    </row>
  </sheetData>
  <mergeCells count="1">
    <mergeCell ref="A1:F1"/>
  </mergeCells>
  <conditionalFormatting sqref="E3:E32">
    <cfRule type="cellIs" dxfId="0" priority="1" operator="greaterThanOrEqual">
      <formula>0.8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B9BD5"/>
  </sheetPr>
  <dimension ref="A1:D23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15.7109375" customWidth="1"/>
    <col min="2" max="2" width="18.7109375" customWidth="1"/>
    <col min="3" max="3" width="12.7109375" customWidth="1"/>
    <col min="4" max="4" width="18.7109375" customWidth="1"/>
  </cols>
  <sheetData>
    <row r="1" spans="1:4" ht="30" customHeight="1">
      <c r="A1" s="1" t="s">
        <v>45</v>
      </c>
      <c r="B1" s="1"/>
      <c r="C1" s="1"/>
      <c r="D1" s="1"/>
    </row>
    <row r="2" spans="1:4">
      <c r="A2" s="2" t="s">
        <v>30</v>
      </c>
      <c r="B2" s="2" t="s">
        <v>46</v>
      </c>
      <c r="C2" s="2" t="s">
        <v>43</v>
      </c>
      <c r="D2" s="2" t="s">
        <v>47</v>
      </c>
    </row>
    <row r="3" spans="1:4">
      <c r="A3" s="15">
        <f>IF(CONFIG!E5&lt;&gt;"",CONFIG!E5,"")</f>
        <v>0</v>
      </c>
      <c r="B3" s="13">
        <f>IF(A3="",0,SUMIFS(SAISIE!$H$3:$H$202,SAISIE!$D$3:$D$202,A3))</f>
        <v>0</v>
      </c>
      <c r="C3" s="17">
        <f>IF(A3="",0,COUNTIF(SAISIE!$D$3:$D$202,A3))</f>
        <v>0</v>
      </c>
      <c r="D3" s="13">
        <f>IF(OR(A3="",C3=0),"",B3/C3)</f>
        <v>0</v>
      </c>
    </row>
    <row r="4" spans="1:4">
      <c r="A4" s="15">
        <f>IF(CONFIG!E6&lt;&gt;"",CONFIG!E6,"")</f>
        <v>0</v>
      </c>
      <c r="B4" s="13">
        <f>IF(A4="",0,SUMIFS(SAISIE!$H$3:$H$202,SAISIE!$D$3:$D$202,A4))</f>
        <v>0</v>
      </c>
      <c r="C4" s="17">
        <f>IF(A4="",0,COUNTIF(SAISIE!$D$3:$D$202,A4))</f>
        <v>0</v>
      </c>
      <c r="D4" s="13">
        <f>IF(OR(A4="",C4=0),"",B4/C4)</f>
        <v>0</v>
      </c>
    </row>
    <row r="5" spans="1:4">
      <c r="A5" s="15">
        <f>IF(CONFIG!E7&lt;&gt;"",CONFIG!E7,"")</f>
        <v>0</v>
      </c>
      <c r="B5" s="13">
        <f>IF(A5="",0,SUMIFS(SAISIE!$H$3:$H$202,SAISIE!$D$3:$D$202,A5))</f>
        <v>0</v>
      </c>
      <c r="C5" s="17">
        <f>IF(A5="",0,COUNTIF(SAISIE!$D$3:$D$202,A5))</f>
        <v>0</v>
      </c>
      <c r="D5" s="13">
        <f>IF(OR(A5="",C5=0),"",B5/C5)</f>
        <v>0</v>
      </c>
    </row>
    <row r="6" spans="1:4">
      <c r="A6" s="15">
        <f>IF(CONFIG!E8&lt;&gt;"",CONFIG!E8,"")</f>
        <v>0</v>
      </c>
      <c r="B6" s="13">
        <f>IF(A6="",0,SUMIFS(SAISIE!$H$3:$H$202,SAISIE!$D$3:$D$202,A6))</f>
        <v>0</v>
      </c>
      <c r="C6" s="17">
        <f>IF(A6="",0,COUNTIF(SAISIE!$D$3:$D$202,A6))</f>
        <v>0</v>
      </c>
      <c r="D6" s="13">
        <f>IF(OR(A6="",C6=0),"",B6/C6)</f>
        <v>0</v>
      </c>
    </row>
    <row r="7" spans="1:4">
      <c r="A7" s="15">
        <f>IF(CONFIG!E9&lt;&gt;"",CONFIG!E9,"")</f>
        <v>0</v>
      </c>
      <c r="B7" s="13">
        <f>IF(A7="",0,SUMIFS(SAISIE!$H$3:$H$202,SAISIE!$D$3:$D$202,A7))</f>
        <v>0</v>
      </c>
      <c r="C7" s="17">
        <f>IF(A7="",0,COUNTIF(SAISIE!$D$3:$D$202,A7))</f>
        <v>0</v>
      </c>
      <c r="D7" s="13">
        <f>IF(OR(A7="",C7=0),"",B7/C7)</f>
        <v>0</v>
      </c>
    </row>
    <row r="8" spans="1:4">
      <c r="A8" s="15">
        <f>IF(CONFIG!E10&lt;&gt;"",CONFIG!E10,"")</f>
        <v>0</v>
      </c>
      <c r="B8" s="13">
        <f>IF(A8="",0,SUMIFS(SAISIE!$H$3:$H$202,SAISIE!$D$3:$D$202,A8))</f>
        <v>0</v>
      </c>
      <c r="C8" s="17">
        <f>IF(A8="",0,COUNTIF(SAISIE!$D$3:$D$202,A8))</f>
        <v>0</v>
      </c>
      <c r="D8" s="13">
        <f>IF(OR(A8="",C8=0),"",B8/C8)</f>
        <v>0</v>
      </c>
    </row>
    <row r="9" spans="1:4">
      <c r="A9" s="15">
        <f>IF(CONFIG!E11&lt;&gt;"",CONFIG!E11,"")</f>
        <v>0</v>
      </c>
      <c r="B9" s="13">
        <f>IF(A9="",0,SUMIFS(SAISIE!$H$3:$H$202,SAISIE!$D$3:$D$202,A9))</f>
        <v>0</v>
      </c>
      <c r="C9" s="17">
        <f>IF(A9="",0,COUNTIF(SAISIE!$D$3:$D$202,A9))</f>
        <v>0</v>
      </c>
      <c r="D9" s="13">
        <f>IF(OR(A9="",C9=0),"",B9/C9)</f>
        <v>0</v>
      </c>
    </row>
    <row r="10" spans="1:4">
      <c r="A10" s="15">
        <f>IF(CONFIG!E12&lt;&gt;"",CONFIG!E12,"")</f>
        <v>0</v>
      </c>
      <c r="B10" s="13">
        <f>IF(A10="",0,SUMIFS(SAISIE!$H$3:$H$202,SAISIE!$D$3:$D$202,A10))</f>
        <v>0</v>
      </c>
      <c r="C10" s="17">
        <f>IF(A10="",0,COUNTIF(SAISIE!$D$3:$D$202,A10))</f>
        <v>0</v>
      </c>
      <c r="D10" s="13">
        <f>IF(OR(A10="",C10=0),"",B10/C10)</f>
        <v>0</v>
      </c>
    </row>
    <row r="11" spans="1:4">
      <c r="A11" s="15">
        <f>IF(CONFIG!E13&lt;&gt;"",CONFIG!E13,"")</f>
        <v>0</v>
      </c>
      <c r="B11" s="13">
        <f>IF(A11="",0,SUMIFS(SAISIE!$H$3:$H$202,SAISIE!$D$3:$D$202,A11))</f>
        <v>0</v>
      </c>
      <c r="C11" s="17">
        <f>IF(A11="",0,COUNTIF(SAISIE!$D$3:$D$202,A11))</f>
        <v>0</v>
      </c>
      <c r="D11" s="13">
        <f>IF(OR(A11="",C11=0),"",B11/C11)</f>
        <v>0</v>
      </c>
    </row>
    <row r="12" spans="1:4">
      <c r="A12" s="15">
        <f>IF(CONFIG!E14&lt;&gt;"",CONFIG!E14,"")</f>
        <v>0</v>
      </c>
      <c r="B12" s="13">
        <f>IF(A12="",0,SUMIFS(SAISIE!$H$3:$H$202,SAISIE!$D$3:$D$202,A12))</f>
        <v>0</v>
      </c>
      <c r="C12" s="17">
        <f>IF(A12="",0,COUNTIF(SAISIE!$D$3:$D$202,A12))</f>
        <v>0</v>
      </c>
      <c r="D12" s="13">
        <f>IF(OR(A12="",C12=0),"",B12/C12)</f>
        <v>0</v>
      </c>
    </row>
    <row r="13" spans="1:4">
      <c r="A13" s="15">
        <f>IF(CONFIG!E15&lt;&gt;"",CONFIG!E15,"")</f>
        <v>0</v>
      </c>
      <c r="B13" s="13">
        <f>IF(A13="",0,SUMIFS(SAISIE!$H$3:$H$202,SAISIE!$D$3:$D$202,A13))</f>
        <v>0</v>
      </c>
      <c r="C13" s="17">
        <f>IF(A13="",0,COUNTIF(SAISIE!$D$3:$D$202,A13))</f>
        <v>0</v>
      </c>
      <c r="D13" s="13">
        <f>IF(OR(A13="",C13=0),"",B13/C13)</f>
        <v>0</v>
      </c>
    </row>
    <row r="14" spans="1:4">
      <c r="A14" s="15">
        <f>IF(CONFIG!E16&lt;&gt;"",CONFIG!E16,"")</f>
        <v>0</v>
      </c>
      <c r="B14" s="13">
        <f>IF(A14="",0,SUMIFS(SAISIE!$H$3:$H$202,SAISIE!$D$3:$D$202,A14))</f>
        <v>0</v>
      </c>
      <c r="C14" s="17">
        <f>IF(A14="",0,COUNTIF(SAISIE!$D$3:$D$202,A14))</f>
        <v>0</v>
      </c>
      <c r="D14" s="13">
        <f>IF(OR(A14="",C14=0),"",B14/C14)</f>
        <v>0</v>
      </c>
    </row>
    <row r="15" spans="1:4">
      <c r="A15" s="15">
        <f>IF(CONFIG!E17&lt;&gt;"",CONFIG!E17,"")</f>
        <v>0</v>
      </c>
      <c r="B15" s="13">
        <f>IF(A15="",0,SUMIFS(SAISIE!$H$3:$H$202,SAISIE!$D$3:$D$202,A15))</f>
        <v>0</v>
      </c>
      <c r="C15" s="17">
        <f>IF(A15="",0,COUNTIF(SAISIE!$D$3:$D$202,A15))</f>
        <v>0</v>
      </c>
      <c r="D15" s="13">
        <f>IF(OR(A15="",C15=0),"",B15/C15)</f>
        <v>0</v>
      </c>
    </row>
    <row r="16" spans="1:4">
      <c r="A16" s="15">
        <f>IF(CONFIG!E18&lt;&gt;"",CONFIG!E18,"")</f>
        <v>0</v>
      </c>
      <c r="B16" s="13">
        <f>IF(A16="",0,SUMIFS(SAISIE!$H$3:$H$202,SAISIE!$D$3:$D$202,A16))</f>
        <v>0</v>
      </c>
      <c r="C16" s="17">
        <f>IF(A16="",0,COUNTIF(SAISIE!$D$3:$D$202,A16))</f>
        <v>0</v>
      </c>
      <c r="D16" s="13">
        <f>IF(OR(A16="",C16=0),"",B16/C16)</f>
        <v>0</v>
      </c>
    </row>
    <row r="17" spans="1:4">
      <c r="A17" s="15">
        <f>IF(CONFIG!E19&lt;&gt;"",CONFIG!E19,"")</f>
        <v>0</v>
      </c>
      <c r="B17" s="13">
        <f>IF(A17="",0,SUMIFS(SAISIE!$H$3:$H$202,SAISIE!$D$3:$D$202,A17))</f>
        <v>0</v>
      </c>
      <c r="C17" s="17">
        <f>IF(A17="",0,COUNTIF(SAISIE!$D$3:$D$202,A17))</f>
        <v>0</v>
      </c>
      <c r="D17" s="13">
        <f>IF(OR(A17="",C17=0),"",B17/C17)</f>
        <v>0</v>
      </c>
    </row>
    <row r="18" spans="1:4">
      <c r="A18" s="15">
        <f>IF(CONFIG!E20&lt;&gt;"",CONFIG!E20,"")</f>
        <v>0</v>
      </c>
      <c r="B18" s="13">
        <f>IF(A18="",0,SUMIFS(SAISIE!$H$3:$H$202,SAISIE!$D$3:$D$202,A18))</f>
        <v>0</v>
      </c>
      <c r="C18" s="17">
        <f>IF(A18="",0,COUNTIF(SAISIE!$D$3:$D$202,A18))</f>
        <v>0</v>
      </c>
      <c r="D18" s="13">
        <f>IF(OR(A18="",C18=0),"",B18/C18)</f>
        <v>0</v>
      </c>
    </row>
    <row r="19" spans="1:4">
      <c r="A19" s="15">
        <f>IF(CONFIG!E21&lt;&gt;"",CONFIG!E21,"")</f>
        <v>0</v>
      </c>
      <c r="B19" s="13">
        <f>IF(A19="",0,SUMIFS(SAISIE!$H$3:$H$202,SAISIE!$D$3:$D$202,A19))</f>
        <v>0</v>
      </c>
      <c r="C19" s="17">
        <f>IF(A19="",0,COUNTIF(SAISIE!$D$3:$D$202,A19))</f>
        <v>0</v>
      </c>
      <c r="D19" s="13">
        <f>IF(OR(A19="",C19=0),"",B19/C19)</f>
        <v>0</v>
      </c>
    </row>
    <row r="20" spans="1:4">
      <c r="A20" s="15">
        <f>IF(CONFIG!E22&lt;&gt;"",CONFIG!E22,"")</f>
        <v>0</v>
      </c>
      <c r="B20" s="13">
        <f>IF(A20="",0,SUMIFS(SAISIE!$H$3:$H$202,SAISIE!$D$3:$D$202,A20))</f>
        <v>0</v>
      </c>
      <c r="C20" s="17">
        <f>IF(A20="",0,COUNTIF(SAISIE!$D$3:$D$202,A20))</f>
        <v>0</v>
      </c>
      <c r="D20" s="13">
        <f>IF(OR(A20="",C20=0),"",B20/C20)</f>
        <v>0</v>
      </c>
    </row>
    <row r="21" spans="1:4">
      <c r="A21" s="15">
        <f>IF(CONFIG!E23&lt;&gt;"",CONFIG!E23,"")</f>
        <v>0</v>
      </c>
      <c r="B21" s="13">
        <f>IF(A21="",0,SUMIFS(SAISIE!$H$3:$H$202,SAISIE!$D$3:$D$202,A21))</f>
        <v>0</v>
      </c>
      <c r="C21" s="17">
        <f>IF(A21="",0,COUNTIF(SAISIE!$D$3:$D$202,A21))</f>
        <v>0</v>
      </c>
      <c r="D21" s="13">
        <f>IF(OR(A21="",C21=0),"",B21/C21)</f>
        <v>0</v>
      </c>
    </row>
    <row r="22" spans="1:4">
      <c r="A22" s="15">
        <f>IF(CONFIG!E24&lt;&gt;"",CONFIG!E24,"")</f>
        <v>0</v>
      </c>
      <c r="B22" s="13">
        <f>IF(A22="",0,SUMIFS(SAISIE!$H$3:$H$202,SAISIE!$D$3:$D$202,A22))</f>
        <v>0</v>
      </c>
      <c r="C22" s="17">
        <f>IF(A22="",0,COUNTIF(SAISIE!$D$3:$D$202,A22))</f>
        <v>0</v>
      </c>
      <c r="D22" s="13">
        <f>IF(OR(A22="",C22=0),"",B22/C22)</f>
        <v>0</v>
      </c>
    </row>
    <row r="23" spans="1:4">
      <c r="A23" s="18" t="s">
        <v>44</v>
      </c>
      <c r="B23" s="18">
        <f>SUM(B3:B22)</f>
        <v>0</v>
      </c>
      <c r="C23" s="20">
        <f>SUM(C3:C22)</f>
        <v>0</v>
      </c>
      <c r="D23" s="18">
        <f>IFERROR(B23/C23,"")</f>
        <v>0</v>
      </c>
    </row>
  </sheetData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0AD47"/>
  </sheetPr>
  <dimension ref="A1:E23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15.7109375" customWidth="1"/>
    <col min="2" max="2" width="18.7109375" customWidth="1"/>
    <col min="3" max="3" width="12.7109375" customWidth="1"/>
    <col min="4" max="4" width="18.7109375" customWidth="1"/>
    <col min="5" max="5" width="14.7109375" customWidth="1"/>
  </cols>
  <sheetData>
    <row r="1" spans="1:5" ht="30" customHeight="1">
      <c r="A1" s="1" t="s">
        <v>48</v>
      </c>
      <c r="B1" s="1"/>
      <c r="C1" s="1"/>
      <c r="D1" s="1"/>
      <c r="E1" s="1"/>
    </row>
    <row r="2" spans="1:5">
      <c r="A2" s="2" t="s">
        <v>35</v>
      </c>
      <c r="B2" s="2" t="s">
        <v>46</v>
      </c>
      <c r="C2" s="2" t="s">
        <v>43</v>
      </c>
      <c r="D2" s="2" t="s">
        <v>49</v>
      </c>
      <c r="E2" s="2" t="s">
        <v>50</v>
      </c>
    </row>
    <row r="3" spans="1:5">
      <c r="A3" s="15">
        <f>IF(CONFIG!A5&lt;&gt;"",CONFIG!A5,"")</f>
        <v>0</v>
      </c>
      <c r="B3" s="13">
        <f>IF(A3="",0,SUMIFS(SAISIE!$H$3:$H$202,SAISIE!$I$3:$I$202,A3))</f>
        <v>0</v>
      </c>
      <c r="C3" s="17">
        <f>IF(A3="",0,COUNTIF(SAISIE!$I$3:$I$202,A3))</f>
        <v>0</v>
      </c>
      <c r="D3" s="13">
        <f>IF(OR(A3="",C3=0),"",B3/C3)</f>
        <v>0</v>
      </c>
      <c r="E3" s="16">
        <f>IF(A3="","",B3/20)</f>
        <v>0</v>
      </c>
    </row>
    <row r="4" spans="1:5">
      <c r="A4" s="15">
        <f>IF(CONFIG!A6&lt;&gt;"",CONFIG!A6,"")</f>
        <v>0</v>
      </c>
      <c r="B4" s="13">
        <f>IF(A4="",0,SUMIFS(SAISIE!$H$3:$H$202,SAISIE!$I$3:$I$202,A4))</f>
        <v>0</v>
      </c>
      <c r="C4" s="17">
        <f>IF(A4="",0,COUNTIF(SAISIE!$I$3:$I$202,A4))</f>
        <v>0</v>
      </c>
      <c r="D4" s="13">
        <f>IF(OR(A4="",C4=0),"",B4/C4)</f>
        <v>0</v>
      </c>
      <c r="E4" s="16">
        <f>IF(A4="","",B4/20)</f>
        <v>0</v>
      </c>
    </row>
    <row r="5" spans="1:5">
      <c r="A5" s="15">
        <f>IF(CONFIG!A7&lt;&gt;"",CONFIG!A7,"")</f>
        <v>0</v>
      </c>
      <c r="B5" s="13">
        <f>IF(A5="",0,SUMIFS(SAISIE!$H$3:$H$202,SAISIE!$I$3:$I$202,A5))</f>
        <v>0</v>
      </c>
      <c r="C5" s="17">
        <f>IF(A5="",0,COUNTIF(SAISIE!$I$3:$I$202,A5))</f>
        <v>0</v>
      </c>
      <c r="D5" s="13">
        <f>IF(OR(A5="",C5=0),"",B5/C5)</f>
        <v>0</v>
      </c>
      <c r="E5" s="16">
        <f>IF(A5="","",B5/20)</f>
        <v>0</v>
      </c>
    </row>
    <row r="6" spans="1:5">
      <c r="A6" s="15">
        <f>IF(CONFIG!A8&lt;&gt;"",CONFIG!A8,"")</f>
        <v>0</v>
      </c>
      <c r="B6" s="13">
        <f>IF(A6="",0,SUMIFS(SAISIE!$H$3:$H$202,SAISIE!$I$3:$I$202,A6))</f>
        <v>0</v>
      </c>
      <c r="C6" s="17">
        <f>IF(A6="",0,COUNTIF(SAISIE!$I$3:$I$202,A6))</f>
        <v>0</v>
      </c>
      <c r="D6" s="13">
        <f>IF(OR(A6="",C6=0),"",B6/C6)</f>
        <v>0</v>
      </c>
      <c r="E6" s="16">
        <f>IF(A6="","",B6/20)</f>
        <v>0</v>
      </c>
    </row>
    <row r="7" spans="1:5">
      <c r="A7" s="15">
        <f>IF(CONFIG!A9&lt;&gt;"",CONFIG!A9,"")</f>
        <v>0</v>
      </c>
      <c r="B7" s="13">
        <f>IF(A7="",0,SUMIFS(SAISIE!$H$3:$H$202,SAISIE!$I$3:$I$202,A7))</f>
        <v>0</v>
      </c>
      <c r="C7" s="17">
        <f>IF(A7="",0,COUNTIF(SAISIE!$I$3:$I$202,A7))</f>
        <v>0</v>
      </c>
      <c r="D7" s="13">
        <f>IF(OR(A7="",C7=0),"",B7/C7)</f>
        <v>0</v>
      </c>
      <c r="E7" s="16">
        <f>IF(A7="","",B7/20)</f>
        <v>0</v>
      </c>
    </row>
    <row r="8" spans="1:5">
      <c r="A8" s="15">
        <f>IF(CONFIG!A10&lt;&gt;"",CONFIG!A10,"")</f>
        <v>0</v>
      </c>
      <c r="B8" s="13">
        <f>IF(A8="",0,SUMIFS(SAISIE!$H$3:$H$202,SAISIE!$I$3:$I$202,A8))</f>
        <v>0</v>
      </c>
      <c r="C8" s="17">
        <f>IF(A8="",0,COUNTIF(SAISIE!$I$3:$I$202,A8))</f>
        <v>0</v>
      </c>
      <c r="D8" s="13">
        <f>IF(OR(A8="",C8=0),"",B8/C8)</f>
        <v>0</v>
      </c>
      <c r="E8" s="16">
        <f>IF(A8="","",B8/20)</f>
        <v>0</v>
      </c>
    </row>
    <row r="9" spans="1:5">
      <c r="A9" s="15">
        <f>IF(CONFIG!A11&lt;&gt;"",CONFIG!A11,"")</f>
        <v>0</v>
      </c>
      <c r="B9" s="13">
        <f>IF(A9="",0,SUMIFS(SAISIE!$H$3:$H$202,SAISIE!$I$3:$I$202,A9))</f>
        <v>0</v>
      </c>
      <c r="C9" s="17">
        <f>IF(A9="",0,COUNTIF(SAISIE!$I$3:$I$202,A9))</f>
        <v>0</v>
      </c>
      <c r="D9" s="13">
        <f>IF(OR(A9="",C9=0),"",B9/C9)</f>
        <v>0</v>
      </c>
      <c r="E9" s="16">
        <f>IF(A9="","",B9/20)</f>
        <v>0</v>
      </c>
    </row>
    <row r="10" spans="1:5">
      <c r="A10" s="15">
        <f>IF(CONFIG!A12&lt;&gt;"",CONFIG!A12,"")</f>
        <v>0</v>
      </c>
      <c r="B10" s="13">
        <f>IF(A10="",0,SUMIFS(SAISIE!$H$3:$H$202,SAISIE!$I$3:$I$202,A10))</f>
        <v>0</v>
      </c>
      <c r="C10" s="17">
        <f>IF(A10="",0,COUNTIF(SAISIE!$I$3:$I$202,A10))</f>
        <v>0</v>
      </c>
      <c r="D10" s="13">
        <f>IF(OR(A10="",C10=0),"",B10/C10)</f>
        <v>0</v>
      </c>
      <c r="E10" s="16">
        <f>IF(A10="","",B10/20)</f>
        <v>0</v>
      </c>
    </row>
    <row r="11" spans="1:5">
      <c r="A11" s="15">
        <f>IF(CONFIG!A13&lt;&gt;"",CONFIG!A13,"")</f>
        <v>0</v>
      </c>
      <c r="B11" s="13">
        <f>IF(A11="",0,SUMIFS(SAISIE!$H$3:$H$202,SAISIE!$I$3:$I$202,A11))</f>
        <v>0</v>
      </c>
      <c r="C11" s="17">
        <f>IF(A11="",0,COUNTIF(SAISIE!$I$3:$I$202,A11))</f>
        <v>0</v>
      </c>
      <c r="D11" s="13">
        <f>IF(OR(A11="",C11=0),"",B11/C11)</f>
        <v>0</v>
      </c>
      <c r="E11" s="16">
        <f>IF(A11="","",B11/20)</f>
        <v>0</v>
      </c>
    </row>
    <row r="12" spans="1:5">
      <c r="A12" s="15">
        <f>IF(CONFIG!A14&lt;&gt;"",CONFIG!A14,"")</f>
        <v>0</v>
      </c>
      <c r="B12" s="13">
        <f>IF(A12="",0,SUMIFS(SAISIE!$H$3:$H$202,SAISIE!$I$3:$I$202,A12))</f>
        <v>0</v>
      </c>
      <c r="C12" s="17">
        <f>IF(A12="",0,COUNTIF(SAISIE!$I$3:$I$202,A12))</f>
        <v>0</v>
      </c>
      <c r="D12" s="13">
        <f>IF(OR(A12="",C12=0),"",B12/C12)</f>
        <v>0</v>
      </c>
      <c r="E12" s="16">
        <f>IF(A12="","",B12/20)</f>
        <v>0</v>
      </c>
    </row>
    <row r="13" spans="1:5">
      <c r="A13" s="15">
        <f>IF(CONFIG!A15&lt;&gt;"",CONFIG!A15,"")</f>
        <v>0</v>
      </c>
      <c r="B13" s="13">
        <f>IF(A13="",0,SUMIFS(SAISIE!$H$3:$H$202,SAISIE!$I$3:$I$202,A13))</f>
        <v>0</v>
      </c>
      <c r="C13" s="17">
        <f>IF(A13="",0,COUNTIF(SAISIE!$I$3:$I$202,A13))</f>
        <v>0</v>
      </c>
      <c r="D13" s="13">
        <f>IF(OR(A13="",C13=0),"",B13/C13)</f>
        <v>0</v>
      </c>
      <c r="E13" s="16">
        <f>IF(A13="","",B13/20)</f>
        <v>0</v>
      </c>
    </row>
    <row r="14" spans="1:5">
      <c r="A14" s="15">
        <f>IF(CONFIG!A16&lt;&gt;"",CONFIG!A16,"")</f>
        <v>0</v>
      </c>
      <c r="B14" s="13">
        <f>IF(A14="",0,SUMIFS(SAISIE!$H$3:$H$202,SAISIE!$I$3:$I$202,A14))</f>
        <v>0</v>
      </c>
      <c r="C14" s="17">
        <f>IF(A14="",0,COUNTIF(SAISIE!$I$3:$I$202,A14))</f>
        <v>0</v>
      </c>
      <c r="D14" s="13">
        <f>IF(OR(A14="",C14=0),"",B14/C14)</f>
        <v>0</v>
      </c>
      <c r="E14" s="16">
        <f>IF(A14="","",B14/20)</f>
        <v>0</v>
      </c>
    </row>
    <row r="15" spans="1:5">
      <c r="A15" s="15">
        <f>IF(CONFIG!A17&lt;&gt;"",CONFIG!A17,"")</f>
        <v>0</v>
      </c>
      <c r="B15" s="13">
        <f>IF(A15="",0,SUMIFS(SAISIE!$H$3:$H$202,SAISIE!$I$3:$I$202,A15))</f>
        <v>0</v>
      </c>
      <c r="C15" s="17">
        <f>IF(A15="",0,COUNTIF(SAISIE!$I$3:$I$202,A15))</f>
        <v>0</v>
      </c>
      <c r="D15" s="13">
        <f>IF(OR(A15="",C15=0),"",B15/C15)</f>
        <v>0</v>
      </c>
      <c r="E15" s="16">
        <f>IF(A15="","",B15/20)</f>
        <v>0</v>
      </c>
    </row>
    <row r="16" spans="1:5">
      <c r="A16" s="15">
        <f>IF(CONFIG!A18&lt;&gt;"",CONFIG!A18,"")</f>
        <v>0</v>
      </c>
      <c r="B16" s="13">
        <f>IF(A16="",0,SUMIFS(SAISIE!$H$3:$H$202,SAISIE!$I$3:$I$202,A16))</f>
        <v>0</v>
      </c>
      <c r="C16" s="17">
        <f>IF(A16="",0,COUNTIF(SAISIE!$I$3:$I$202,A16))</f>
        <v>0</v>
      </c>
      <c r="D16" s="13">
        <f>IF(OR(A16="",C16=0),"",B16/C16)</f>
        <v>0</v>
      </c>
      <c r="E16" s="16">
        <f>IF(A16="","",B16/20)</f>
        <v>0</v>
      </c>
    </row>
    <row r="17" spans="1:5">
      <c r="A17" s="15">
        <f>IF(CONFIG!A19&lt;&gt;"",CONFIG!A19,"")</f>
        <v>0</v>
      </c>
      <c r="B17" s="13">
        <f>IF(A17="",0,SUMIFS(SAISIE!$H$3:$H$202,SAISIE!$I$3:$I$202,A17))</f>
        <v>0</v>
      </c>
      <c r="C17" s="17">
        <f>IF(A17="",0,COUNTIF(SAISIE!$I$3:$I$202,A17))</f>
        <v>0</v>
      </c>
      <c r="D17" s="13">
        <f>IF(OR(A17="",C17=0),"",B17/C17)</f>
        <v>0</v>
      </c>
      <c r="E17" s="16">
        <f>IF(A17="","",B17/20)</f>
        <v>0</v>
      </c>
    </row>
    <row r="18" spans="1:5">
      <c r="A18" s="15">
        <f>IF(CONFIG!A20&lt;&gt;"",CONFIG!A20,"")</f>
        <v>0</v>
      </c>
      <c r="B18" s="13">
        <f>IF(A18="",0,SUMIFS(SAISIE!$H$3:$H$202,SAISIE!$I$3:$I$202,A18))</f>
        <v>0</v>
      </c>
      <c r="C18" s="17">
        <f>IF(A18="",0,COUNTIF(SAISIE!$I$3:$I$202,A18))</f>
        <v>0</v>
      </c>
      <c r="D18" s="13">
        <f>IF(OR(A18="",C18=0),"",B18/C18)</f>
        <v>0</v>
      </c>
      <c r="E18" s="16">
        <f>IF(A18="","",B18/20)</f>
        <v>0</v>
      </c>
    </row>
    <row r="19" spans="1:5">
      <c r="A19" s="15">
        <f>IF(CONFIG!A21&lt;&gt;"",CONFIG!A21,"")</f>
        <v>0</v>
      </c>
      <c r="B19" s="13">
        <f>IF(A19="",0,SUMIFS(SAISIE!$H$3:$H$202,SAISIE!$I$3:$I$202,A19))</f>
        <v>0</v>
      </c>
      <c r="C19" s="17">
        <f>IF(A19="",0,COUNTIF(SAISIE!$I$3:$I$202,A19))</f>
        <v>0</v>
      </c>
      <c r="D19" s="13">
        <f>IF(OR(A19="",C19=0),"",B19/C19)</f>
        <v>0</v>
      </c>
      <c r="E19" s="16">
        <f>IF(A19="","",B19/20)</f>
        <v>0</v>
      </c>
    </row>
    <row r="20" spans="1:5">
      <c r="A20" s="15">
        <f>IF(CONFIG!A22&lt;&gt;"",CONFIG!A22,"")</f>
        <v>0</v>
      </c>
      <c r="B20" s="13">
        <f>IF(A20="",0,SUMIFS(SAISIE!$H$3:$H$202,SAISIE!$I$3:$I$202,A20))</f>
        <v>0</v>
      </c>
      <c r="C20" s="17">
        <f>IF(A20="",0,COUNTIF(SAISIE!$I$3:$I$202,A20))</f>
        <v>0</v>
      </c>
      <c r="D20" s="13">
        <f>IF(OR(A20="",C20=0),"",B20/C20)</f>
        <v>0</v>
      </c>
      <c r="E20" s="16">
        <f>IF(A20="","",B20/20)</f>
        <v>0</v>
      </c>
    </row>
    <row r="21" spans="1:5">
      <c r="A21" s="15">
        <f>IF(CONFIG!A23&lt;&gt;"",CONFIG!A23,"")</f>
        <v>0</v>
      </c>
      <c r="B21" s="13">
        <f>IF(A21="",0,SUMIFS(SAISIE!$H$3:$H$202,SAISIE!$I$3:$I$202,A21))</f>
        <v>0</v>
      </c>
      <c r="C21" s="17">
        <f>IF(A21="",0,COUNTIF(SAISIE!$I$3:$I$202,A21))</f>
        <v>0</v>
      </c>
      <c r="D21" s="13">
        <f>IF(OR(A21="",C21=0),"",B21/C21)</f>
        <v>0</v>
      </c>
      <c r="E21" s="16">
        <f>IF(A21="","",B21/20)</f>
        <v>0</v>
      </c>
    </row>
    <row r="22" spans="1:5">
      <c r="A22" s="15">
        <f>IF(CONFIG!A24&lt;&gt;"",CONFIG!A24,"")</f>
        <v>0</v>
      </c>
      <c r="B22" s="13">
        <f>IF(A22="",0,SUMIFS(SAISIE!$H$3:$H$202,SAISIE!$I$3:$I$202,A22))</f>
        <v>0</v>
      </c>
      <c r="C22" s="17">
        <f>IF(A22="",0,COUNTIF(SAISIE!$I$3:$I$202,A22))</f>
        <v>0</v>
      </c>
      <c r="D22" s="13">
        <f>IF(OR(A22="",C22=0),"",B22/C22)</f>
        <v>0</v>
      </c>
      <c r="E22" s="16">
        <f>IF(A22="","",B22/20)</f>
        <v>0</v>
      </c>
    </row>
    <row r="23" spans="1:5">
      <c r="A23" s="18" t="s">
        <v>44</v>
      </c>
      <c r="B23" s="18">
        <f>SUM(B3:B22)</f>
        <v>0</v>
      </c>
      <c r="C23" s="20">
        <f>SUM(C3:C22)</f>
        <v>0</v>
      </c>
      <c r="D23" s="18">
        <f>IFERROR(B23/C23,"")</f>
        <v>0</v>
      </c>
      <c r="E23" s="18"/>
    </row>
  </sheetData>
  <mergeCells count="1">
    <mergeCell ref="A1:E1"/>
  </mergeCells>
  <conditionalFormatting sqref="E3:E22">
    <cfRule type="cellIs" dxfId="0" priority="1" operator="greaterThanOrEqual">
      <formula>0.8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TABLEAU_DE_BORD</vt:lpstr>
      <vt:lpstr>CONFIG</vt:lpstr>
      <vt:lpstr>SAISIE</vt:lpstr>
      <vt:lpstr>SUIVI_RTR</vt:lpstr>
      <vt:lpstr>SUIVI_BATIMENT</vt:lpstr>
      <vt:lpstr>SUIVI_INTERVENANT</vt:lpstr>
      <vt:lpstr>lst_batiments</vt:lpstr>
      <vt:lpstr>lst_dj</vt:lpstr>
      <vt:lpstr>lst_intervenants</vt:lpstr>
      <vt:lpstr>lst_rtr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2026-02-24T23:06:43Z</dcterms:created>
  <dcterms:modified xsi:type="dcterms:W3CDTF">2026-02-24T23:06:43Z</dcterms:modified>
</cp:coreProperties>
</file>