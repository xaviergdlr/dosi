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TABLEAU_DE_BORD" sheetId="2" state="visible" r:id="rId2"/>
    <sheet name="SAISIE" sheetId="3" state="visible" r:id="rId3"/>
    <sheet name="SUIVI_RTR" sheetId="4" state="visible" r:id="rId4"/>
    <sheet name="SUIVI_BATIMENT" sheetId="5" state="visible" r:id="rId5"/>
    <sheet name="SUIVI_INTERVENA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0.000"/>
    <numFmt numFmtId="167" formatCode="0.000%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10"/>
    </font>
    <font>
      <b val="1"/>
      <color rgb="00FFFFFF"/>
      <sz val="11"/>
    </font>
    <font>
      <i val="1"/>
      <color rgb="00888888"/>
      <sz val="9"/>
    </font>
    <font>
      <b val="1"/>
    </font>
    <font>
      <b val="1"/>
      <sz val="1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0" borderId="0" pivotButton="0" quotePrefix="0" xfId="0"/>
    <xf numFmtId="0" fontId="6" fillId="0" borderId="0" pivotButton="0" quotePrefix="0" xfId="0"/>
    <xf numFmtId="0" fontId="3" fillId="2" borderId="1" applyAlignment="1" pivotButton="0" quotePrefix="0" xfId="0">
      <alignment horizontal="center" wrapText="1"/>
    </xf>
    <xf numFmtId="0" fontId="5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" fontId="0" fillId="0" borderId="1" pivotButton="0" quotePrefix="0" xfId="0"/>
    <xf numFmtId="165" fontId="0" fillId="0" borderId="1" pivotButton="0" quotePrefix="0" xfId="0"/>
    <xf numFmtId="0" fontId="5" fillId="3" borderId="1" pivotButton="0" quotePrefix="0" xfId="0"/>
    <xf numFmtId="166" fontId="5" fillId="3" borderId="1" pivotButton="0" quotePrefix="0" xfId="0"/>
    <xf numFmtId="167" fontId="5" fillId="3" borderId="1" pivotButton="0" quotePrefix="0" xfId="0"/>
    <xf numFmtId="1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18" customWidth="1" min="1" max="1"/>
    <col width="3" customWidth="1" min="2" max="2"/>
    <col width="16" customWidth="1" min="3" max="3"/>
    <col width="3" customWidth="1" min="4" max="4"/>
    <col width="16" customWidth="1" min="5" max="5"/>
    <col width="3" customWidth="1" min="6" max="6"/>
    <col width="14" customWidth="1" min="7" max="7"/>
  </cols>
  <sheetData>
    <row r="1">
      <c r="A1" s="1" t="inlineStr">
        <is>
          <t>CONFIGURATION</t>
        </is>
      </c>
    </row>
    <row r="2">
      <c r="A2" s="2" t="inlineStr">
        <is>
          <t>Modifiez les listes ci-dessous.</t>
        </is>
      </c>
    </row>
    <row r="4">
      <c r="A4" s="3" t="inlineStr">
        <is>
          <t>Intervenants</t>
        </is>
      </c>
      <c r="C4" s="3" t="inlineStr">
        <is>
          <t>RTR</t>
        </is>
      </c>
      <c r="E4" s="3" t="inlineStr">
        <is>
          <t>Batiments</t>
        </is>
      </c>
      <c r="G4" s="3" t="inlineStr">
        <is>
          <t>Demi-journee</t>
        </is>
      </c>
    </row>
    <row r="5">
      <c r="A5" s="4" t="inlineStr">
        <is>
          <t>XG</t>
        </is>
      </c>
      <c r="C5" s="4" t="inlineStr">
        <is>
          <t>RTR-1</t>
        </is>
      </c>
      <c r="E5" s="4" t="inlineStr">
        <is>
          <t>BR5</t>
        </is>
      </c>
      <c r="G5" s="4" t="inlineStr">
        <is>
          <t>AM</t>
        </is>
      </c>
    </row>
    <row r="6">
      <c r="A6" s="4" t="inlineStr">
        <is>
          <t>VM</t>
        </is>
      </c>
      <c r="C6" s="4" t="inlineStr">
        <is>
          <t>RTR-ZO-1</t>
        </is>
      </c>
      <c r="E6" s="4" t="inlineStr">
        <is>
          <t>BR6</t>
        </is>
      </c>
      <c r="G6" s="4" t="inlineStr">
        <is>
          <t>PM</t>
        </is>
      </c>
    </row>
    <row r="7">
      <c r="A7" s="4" t="inlineStr">
        <is>
          <t>LB</t>
        </is>
      </c>
      <c r="C7" s="4" t="inlineStr">
        <is>
          <t>RTR-N-1</t>
        </is>
      </c>
      <c r="E7" s="4" t="inlineStr">
        <is>
          <t>BL5</t>
        </is>
      </c>
      <c r="G7" s="4" t="inlineStr">
        <is>
          <t>HS</t>
        </is>
      </c>
    </row>
    <row r="8">
      <c r="A8" s="4" t="inlineStr">
        <is>
          <t>BB</t>
        </is>
      </c>
      <c r="E8" s="4" t="inlineStr">
        <is>
          <t>BL6</t>
        </is>
      </c>
    </row>
    <row r="9">
      <c r="A9" s="4" t="inlineStr">
        <is>
          <t>AA</t>
        </is>
      </c>
      <c r="E9" s="4" t="inlineStr">
        <is>
          <t>BL7</t>
        </is>
      </c>
    </row>
    <row r="10">
      <c r="A10" s="4" t="inlineStr">
        <is>
          <t>AC</t>
        </is>
      </c>
      <c r="E10" s="4" t="inlineStr">
        <is>
          <t>BK5</t>
        </is>
      </c>
    </row>
    <row r="11">
      <c r="E11" s="4" t="inlineStr">
        <is>
          <t>BK6</t>
        </is>
      </c>
    </row>
    <row r="12">
      <c r="E12" s="4" t="inlineStr">
        <is>
          <t>BAN7</t>
        </is>
      </c>
    </row>
    <row r="13">
      <c r="E13" s="4" t="inlineStr">
        <is>
          <t>DB5</t>
        </is>
      </c>
    </row>
    <row r="14">
      <c r="E14" s="4" t="inlineStr">
        <is>
          <t>DB6</t>
        </is>
      </c>
    </row>
    <row r="16">
      <c r="A16" s="5">
        <f>COUNTA(A5:A14)&amp;" / 10 intervenants"</f>
        <v/>
      </c>
    </row>
    <row r="26">
      <c r="E26" s="5">
        <f>COUNTA(E5:E24)&amp;" / 20 batiments"</f>
        <v/>
      </c>
    </row>
    <row r="36">
      <c r="C36" s="5">
        <f>COUNTA(C5:C34)&amp;" / 30 RTR"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</cols>
  <sheetData>
    <row r="1">
      <c r="A1" s="6" t="inlineStr">
        <is>
          <t>TABLEAU DE BORD</t>
        </is>
      </c>
    </row>
    <row r="2">
      <c r="A2" s="7" t="inlineStr">
        <is>
          <t>Indicateur</t>
        </is>
      </c>
      <c r="B2" s="7" t="inlineStr">
        <is>
          <t>Valeur</t>
        </is>
      </c>
      <c r="C2" s="7" t="inlineStr">
        <is>
          <t>Unite</t>
        </is>
      </c>
    </row>
    <row r="3">
      <c r="A3" s="8" t="inlineStr">
        <is>
          <t>Dose collective totale</t>
        </is>
      </c>
      <c r="B3" s="9">
        <f>SUIVI_RTR!C33</f>
        <v/>
      </c>
      <c r="C3" s="4" t="inlineStr">
        <is>
          <t>mSv</t>
        </is>
      </c>
    </row>
    <row r="4">
      <c r="A4" s="8" t="inlineStr">
        <is>
          <t>Dose prevue totale</t>
        </is>
      </c>
      <c r="B4" s="9">
        <f>SUIVI_RTR!B33</f>
        <v/>
      </c>
      <c r="C4" s="4" t="inlineStr">
        <is>
          <t>mSv</t>
        </is>
      </c>
    </row>
    <row r="5">
      <c r="A5" s="8" t="inlineStr">
        <is>
          <t>Reste a consommer</t>
        </is>
      </c>
      <c r="B5" s="9">
        <f>IFERROR(SUIVI_RTR!B33-SUIVI_RTR!C33,"")</f>
        <v/>
      </c>
      <c r="C5" s="4" t="inlineStr">
        <is>
          <t>mSv</t>
        </is>
      </c>
    </row>
    <row r="6">
      <c r="A6" s="8" t="inlineStr">
        <is>
          <t>% global consomme</t>
        </is>
      </c>
      <c r="B6" s="10">
        <f>IFERROR(SUIVI_RTR!C33/SUIVI_RTR!B33,"")</f>
        <v/>
      </c>
      <c r="C6" s="4" t="inlineStr">
        <is>
          <t>%</t>
        </is>
      </c>
    </row>
    <row r="7">
      <c r="A7" s="8" t="inlineStr">
        <is>
          <t>Nb total de passages</t>
        </is>
      </c>
      <c r="B7" s="11">
        <f>SUIVI_RTR!F33</f>
        <v/>
      </c>
      <c r="C7" s="4" t="inlineStr">
        <is>
          <t>passages</t>
        </is>
      </c>
    </row>
    <row r="8">
      <c r="A8" s="8" t="inlineStr">
        <is>
          <t>RTR actifs</t>
        </is>
      </c>
      <c r="B8" s="11">
        <f>COUNTA(CONFIG!C5:C34)</f>
        <v/>
      </c>
      <c r="C8" s="4" t="inlineStr">
        <is>
          <t>RTR</t>
        </is>
      </c>
    </row>
    <row r="9">
      <c r="A9" s="8" t="inlineStr">
        <is>
          <t>Intervenants actifs</t>
        </is>
      </c>
      <c r="B9" s="11">
        <f>COUNTA(CONFIG!A5:A14)</f>
        <v/>
      </c>
      <c r="C9" s="4" t="inlineStr">
        <is>
          <t>personnes</t>
        </is>
      </c>
    </row>
    <row r="10">
      <c r="A10" s="8" t="inlineStr">
        <is>
          <t>Dose max individuelle</t>
        </is>
      </c>
      <c r="B10" s="9">
        <f>MAX(SUIVI_INTERVENANT!B3:B12)</f>
        <v/>
      </c>
      <c r="C10" s="4" t="inlineStr">
        <is>
          <t>mSv</t>
        </is>
      </c>
    </row>
    <row r="11">
      <c r="A11" s="8" t="inlineStr">
        <is>
          <t>% max vs limite 3 mSv</t>
        </is>
      </c>
      <c r="B11" s="10">
        <f>IFERROR(MAX(SUIVI_INTERVENANT!B3:B12)/3,"")</f>
        <v/>
      </c>
      <c r="C11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20" customWidth="1" min="16" max="16"/>
  </cols>
  <sheetData>
    <row r="1">
      <c r="A1" s="7" t="inlineStr">
        <is>
          <t>Date</t>
        </is>
      </c>
      <c r="B1" s="7" t="inlineStr">
        <is>
          <t>DJ</t>
        </is>
      </c>
      <c r="C1" s="7" t="inlineStr">
        <is>
          <t>RTR</t>
        </is>
      </c>
      <c r="D1" s="7" t="inlineStr">
        <is>
          <t>Batiment</t>
        </is>
      </c>
      <c r="E1" s="7">
        <f>CONFIG!$A$5</f>
        <v/>
      </c>
      <c r="F1" s="7">
        <f>CONFIG!$A$6</f>
        <v/>
      </c>
      <c r="G1" s="7">
        <f>CONFIG!$A$7</f>
        <v/>
      </c>
      <c r="H1" s="7">
        <f>CONFIG!$A$8</f>
        <v/>
      </c>
      <c r="I1" s="7">
        <f>CONFIG!$A$9</f>
        <v/>
      </c>
      <c r="J1" s="7">
        <f>CONFIG!$A$10</f>
        <v/>
      </c>
      <c r="K1" s="7">
        <f>CONFIG!$A$11</f>
        <v/>
      </c>
      <c r="L1" s="7">
        <f>CONFIG!$A$12</f>
        <v/>
      </c>
      <c r="M1" s="7">
        <f>CONFIG!$A$13</f>
        <v/>
      </c>
      <c r="N1" s="7">
        <f>CONFIG!$A$14</f>
        <v/>
      </c>
      <c r="O1" s="7" t="inlineStr">
        <is>
          <t>Dose totale</t>
        </is>
      </c>
      <c r="P1" s="7" t="inlineStr">
        <is>
          <t>Commentaire</t>
        </is>
      </c>
    </row>
    <row r="2">
      <c r="A2" s="12" t="n">
        <v>46072</v>
      </c>
      <c r="B2" s="4" t="inlineStr">
        <is>
          <t>AM</t>
        </is>
      </c>
      <c r="C2" s="4" t="inlineStr">
        <is>
          <t>RTR-1</t>
        </is>
      </c>
      <c r="D2" s="4" t="inlineStr">
        <is>
          <t>BAN7</t>
        </is>
      </c>
      <c r="E2" s="9" t="n">
        <v>0.002</v>
      </c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>
        <f>IF(SUM(E2:N2)&gt;0,SUM(E2:N2),"")</f>
        <v/>
      </c>
      <c r="P2" s="4" t="inlineStr">
        <is>
          <t>Exemple de saisie</t>
        </is>
      </c>
    </row>
    <row r="3">
      <c r="A3" s="12">
        <f>IF(B3=CONFIG!$G$5,A2+1,A2)</f>
        <v/>
      </c>
      <c r="B3" s="4">
        <f>IF(B2=CONFIG!$G$6,CONFIG!$G$5,CONFIG!$G$6)</f>
        <v/>
      </c>
      <c r="C3" s="4" t="n"/>
      <c r="D3" s="4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>
        <f>IF(SUM(E3:N3)&gt;0,SUM(E3:N3),"")</f>
        <v/>
      </c>
      <c r="P3" s="4" t="n"/>
    </row>
    <row r="4">
      <c r="A4" s="12">
        <f>IF(B4=CONFIG!$G$5,A3+1,A3)</f>
        <v/>
      </c>
      <c r="B4" s="4">
        <f>IF(B3=CONFIG!$G$6,CONFIG!$G$5,CONFIG!$G$6)</f>
        <v/>
      </c>
      <c r="C4" s="4" t="n"/>
      <c r="D4" s="4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>
        <f>IF(SUM(E4:N4)&gt;0,SUM(E4:N4),"")</f>
        <v/>
      </c>
      <c r="P4" s="4" t="n"/>
    </row>
    <row r="5">
      <c r="A5" s="12">
        <f>IF(B5=CONFIG!$G$5,A4+1,A4)</f>
        <v/>
      </c>
      <c r="B5" s="4">
        <f>IF(B4=CONFIG!$G$6,CONFIG!$G$5,CONFIG!$G$6)</f>
        <v/>
      </c>
      <c r="C5" s="4" t="n"/>
      <c r="D5" s="4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>
        <f>IF(SUM(E5:N5)&gt;0,SUM(E5:N5),"")</f>
        <v/>
      </c>
      <c r="P5" s="4" t="n"/>
    </row>
    <row r="6">
      <c r="A6" s="12">
        <f>IF(B6=CONFIG!$G$5,A5+1,A5)</f>
        <v/>
      </c>
      <c r="B6" s="4">
        <f>IF(B5=CONFIG!$G$6,CONFIG!$G$5,CONFIG!$G$6)</f>
        <v/>
      </c>
      <c r="C6" s="4" t="n"/>
      <c r="D6" s="4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>
        <f>IF(SUM(E6:N6)&gt;0,SUM(E6:N6),"")</f>
        <v/>
      </c>
      <c r="P6" s="4" t="n"/>
    </row>
    <row r="7">
      <c r="A7" s="12">
        <f>IF(B7=CONFIG!$G$5,A6+1,A6)</f>
        <v/>
      </c>
      <c r="B7" s="4">
        <f>IF(B6=CONFIG!$G$6,CONFIG!$G$5,CONFIG!$G$6)</f>
        <v/>
      </c>
      <c r="C7" s="4" t="n"/>
      <c r="D7" s="4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>
        <f>IF(SUM(E7:N7)&gt;0,SUM(E7:N7),"")</f>
        <v/>
      </c>
      <c r="P7" s="4" t="n"/>
    </row>
    <row r="8">
      <c r="A8" s="12">
        <f>IF(B8=CONFIG!$G$5,A7+1,A7)</f>
        <v/>
      </c>
      <c r="B8" s="4">
        <f>IF(B7=CONFIG!$G$6,CONFIG!$G$5,CONFIG!$G$6)</f>
        <v/>
      </c>
      <c r="C8" s="4" t="n"/>
      <c r="D8" s="4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>
        <f>IF(SUM(E8:N8)&gt;0,SUM(E8:N8),"")</f>
        <v/>
      </c>
      <c r="P8" s="4" t="n"/>
    </row>
    <row r="9">
      <c r="A9" s="12">
        <f>IF(B9=CONFIG!$G$5,A8+1,A8)</f>
        <v/>
      </c>
      <c r="B9" s="4">
        <f>IF(B8=CONFIG!$G$6,CONFIG!$G$5,CONFIG!$G$6)</f>
        <v/>
      </c>
      <c r="C9" s="4" t="n"/>
      <c r="D9" s="4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>
        <f>IF(SUM(E9:N9)&gt;0,SUM(E9:N9),"")</f>
        <v/>
      </c>
      <c r="P9" s="4" t="n"/>
    </row>
    <row r="10">
      <c r="A10" s="12">
        <f>IF(B10=CONFIG!$G$5,A9+1,A9)</f>
        <v/>
      </c>
      <c r="B10" s="4">
        <f>IF(B9=CONFIG!$G$6,CONFIG!$G$5,CONFIG!$G$6)</f>
        <v/>
      </c>
      <c r="C10" s="4" t="n"/>
      <c r="D10" s="4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>
        <f>IF(SUM(E10:N10)&gt;0,SUM(E10:N10),"")</f>
        <v/>
      </c>
      <c r="P10" s="4" t="n"/>
    </row>
    <row r="11">
      <c r="A11" s="12">
        <f>IF(B11=CONFIG!$G$5,A10+1,A10)</f>
        <v/>
      </c>
      <c r="B11" s="4">
        <f>IF(B10=CONFIG!$G$6,CONFIG!$G$5,CONFIG!$G$6)</f>
        <v/>
      </c>
      <c r="C11" s="4" t="n"/>
      <c r="D11" s="4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>
        <f>IF(SUM(E11:N11)&gt;0,SUM(E11:N11),"")</f>
        <v/>
      </c>
      <c r="P11" s="4" t="n"/>
    </row>
    <row r="12">
      <c r="A12" s="12">
        <f>IF(B12=CONFIG!$G$5,A11+1,A11)</f>
        <v/>
      </c>
      <c r="B12" s="4">
        <f>IF(B11=CONFIG!$G$6,CONFIG!$G$5,CONFIG!$G$6)</f>
        <v/>
      </c>
      <c r="C12" s="4" t="n"/>
      <c r="D12" s="4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>
        <f>IF(SUM(E12:N12)&gt;0,SUM(E12:N12),"")</f>
        <v/>
      </c>
      <c r="P12" s="4" t="n"/>
    </row>
    <row r="13">
      <c r="A13" s="12">
        <f>IF(B13=CONFIG!$G$5,A12+1,A12)</f>
        <v/>
      </c>
      <c r="B13" s="4">
        <f>IF(B12=CONFIG!$G$6,CONFIG!$G$5,CONFIG!$G$6)</f>
        <v/>
      </c>
      <c r="C13" s="4" t="n"/>
      <c r="D13" s="4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>
        <f>IF(SUM(E13:N13)&gt;0,SUM(E13:N13),"")</f>
        <v/>
      </c>
      <c r="P13" s="4" t="n"/>
    </row>
    <row r="14">
      <c r="A14" s="12">
        <f>IF(B14=CONFIG!$G$5,A13+1,A13)</f>
        <v/>
      </c>
      <c r="B14" s="4">
        <f>IF(B13=CONFIG!$G$6,CONFIG!$G$5,CONFIG!$G$6)</f>
        <v/>
      </c>
      <c r="C14" s="4" t="n"/>
      <c r="D14" s="4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>
        <f>IF(SUM(E14:N14)&gt;0,SUM(E14:N14),"")</f>
        <v/>
      </c>
      <c r="P14" s="4" t="n"/>
    </row>
    <row r="15">
      <c r="A15" s="12">
        <f>IF(B15=CONFIG!$G$5,A14+1,A14)</f>
        <v/>
      </c>
      <c r="B15" s="4">
        <f>IF(B14=CONFIG!$G$6,CONFIG!$G$5,CONFIG!$G$6)</f>
        <v/>
      </c>
      <c r="C15" s="4" t="n"/>
      <c r="D15" s="4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>
        <f>IF(SUM(E15:N15)&gt;0,SUM(E15:N15),"")</f>
        <v/>
      </c>
      <c r="P15" s="4" t="n"/>
    </row>
    <row r="16">
      <c r="A16" s="12">
        <f>IF(B16=CONFIG!$G$5,A15+1,A15)</f>
        <v/>
      </c>
      <c r="B16" s="4">
        <f>IF(B15=CONFIG!$G$6,CONFIG!$G$5,CONFIG!$G$6)</f>
        <v/>
      </c>
      <c r="C16" s="4" t="n"/>
      <c r="D16" s="4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>
        <f>IF(SUM(E16:N16)&gt;0,SUM(E16:N16),"")</f>
        <v/>
      </c>
      <c r="P16" s="4" t="n"/>
    </row>
    <row r="17">
      <c r="A17" s="12">
        <f>IF(B17=CONFIG!$G$5,A16+1,A16)</f>
        <v/>
      </c>
      <c r="B17" s="4">
        <f>IF(B16=CONFIG!$G$6,CONFIG!$G$5,CONFIG!$G$6)</f>
        <v/>
      </c>
      <c r="C17" s="4" t="n"/>
      <c r="D17" s="4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>
        <f>IF(SUM(E17:N17)&gt;0,SUM(E17:N17),"")</f>
        <v/>
      </c>
      <c r="P17" s="4" t="n"/>
    </row>
    <row r="18">
      <c r="A18" s="12">
        <f>IF(B18=CONFIG!$G$5,A17+1,A17)</f>
        <v/>
      </c>
      <c r="B18" s="4">
        <f>IF(B17=CONFIG!$G$6,CONFIG!$G$5,CONFIG!$G$6)</f>
        <v/>
      </c>
      <c r="C18" s="4" t="n"/>
      <c r="D18" s="4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>
        <f>IF(SUM(E18:N18)&gt;0,SUM(E18:N18),"")</f>
        <v/>
      </c>
      <c r="P18" s="4" t="n"/>
    </row>
    <row r="19">
      <c r="A19" s="12">
        <f>IF(B19=CONFIG!$G$5,A18+1,A18)</f>
        <v/>
      </c>
      <c r="B19" s="4">
        <f>IF(B18=CONFIG!$G$6,CONFIG!$G$5,CONFIG!$G$6)</f>
        <v/>
      </c>
      <c r="C19" s="4" t="n"/>
      <c r="D19" s="4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>
        <f>IF(SUM(E19:N19)&gt;0,SUM(E19:N19),"")</f>
        <v/>
      </c>
      <c r="P19" s="4" t="n"/>
    </row>
    <row r="20">
      <c r="A20" s="12">
        <f>IF(B20=CONFIG!$G$5,A19+1,A19)</f>
        <v/>
      </c>
      <c r="B20" s="4">
        <f>IF(B19=CONFIG!$G$6,CONFIG!$G$5,CONFIG!$G$6)</f>
        <v/>
      </c>
      <c r="C20" s="4" t="n"/>
      <c r="D20" s="4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>
        <f>IF(SUM(E20:N20)&gt;0,SUM(E20:N20),"")</f>
        <v/>
      </c>
      <c r="P20" s="4" t="n"/>
    </row>
    <row r="21">
      <c r="A21" s="12">
        <f>IF(B21=CONFIG!$G$5,A20+1,A20)</f>
        <v/>
      </c>
      <c r="B21" s="4">
        <f>IF(B20=CONFIG!$G$6,CONFIG!$G$5,CONFIG!$G$6)</f>
        <v/>
      </c>
      <c r="C21" s="4" t="n"/>
      <c r="D21" s="4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>
        <f>IF(SUM(E21:N21)&gt;0,SUM(E21:N21),"")</f>
        <v/>
      </c>
      <c r="P21" s="4" t="n"/>
    </row>
    <row r="22">
      <c r="A22" s="12">
        <f>IF(B22=CONFIG!$G$5,A21+1,A21)</f>
        <v/>
      </c>
      <c r="B22" s="4">
        <f>IF(B21=CONFIG!$G$6,CONFIG!$G$5,CONFIG!$G$6)</f>
        <v/>
      </c>
      <c r="C22" s="4" t="n"/>
      <c r="D22" s="4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>
        <f>IF(SUM(E22:N22)&gt;0,SUM(E22:N22),"")</f>
        <v/>
      </c>
      <c r="P22" s="4" t="n"/>
    </row>
    <row r="23">
      <c r="A23" s="12">
        <f>IF(B23=CONFIG!$G$5,A22+1,A22)</f>
        <v/>
      </c>
      <c r="B23" s="4">
        <f>IF(B22=CONFIG!$G$6,CONFIG!$G$5,CONFIG!$G$6)</f>
        <v/>
      </c>
      <c r="C23" s="4" t="n"/>
      <c r="D23" s="4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>
        <f>IF(SUM(E23:N23)&gt;0,SUM(E23:N23),"")</f>
        <v/>
      </c>
      <c r="P23" s="4" t="n"/>
    </row>
    <row r="24">
      <c r="A24" s="12">
        <f>IF(B24=CONFIG!$G$5,A23+1,A23)</f>
        <v/>
      </c>
      <c r="B24" s="4">
        <f>IF(B23=CONFIG!$G$6,CONFIG!$G$5,CONFIG!$G$6)</f>
        <v/>
      </c>
      <c r="C24" s="4" t="n"/>
      <c r="D24" s="4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>
        <f>IF(SUM(E24:N24)&gt;0,SUM(E24:N24),"")</f>
        <v/>
      </c>
      <c r="P24" s="4" t="n"/>
    </row>
    <row r="25">
      <c r="A25" s="12">
        <f>IF(B25=CONFIG!$G$5,A24+1,A24)</f>
        <v/>
      </c>
      <c r="B25" s="4">
        <f>IF(B24=CONFIG!$G$6,CONFIG!$G$5,CONFIG!$G$6)</f>
        <v/>
      </c>
      <c r="C25" s="4" t="n"/>
      <c r="D25" s="4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>
        <f>IF(SUM(E25:N25)&gt;0,SUM(E25:N25),"")</f>
        <v/>
      </c>
      <c r="P25" s="4" t="n"/>
    </row>
    <row r="26">
      <c r="A26" s="12">
        <f>IF(B26=CONFIG!$G$5,A25+1,A25)</f>
        <v/>
      </c>
      <c r="B26" s="4">
        <f>IF(B25=CONFIG!$G$6,CONFIG!$G$5,CONFIG!$G$6)</f>
        <v/>
      </c>
      <c r="C26" s="4" t="n"/>
      <c r="D26" s="4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>
        <f>IF(SUM(E26:N26)&gt;0,SUM(E26:N26),"")</f>
        <v/>
      </c>
      <c r="P26" s="4" t="n"/>
    </row>
    <row r="27">
      <c r="A27" s="12">
        <f>IF(B27=CONFIG!$G$5,A26+1,A26)</f>
        <v/>
      </c>
      <c r="B27" s="4">
        <f>IF(B26=CONFIG!$G$6,CONFIG!$G$5,CONFIG!$G$6)</f>
        <v/>
      </c>
      <c r="C27" s="4" t="n"/>
      <c r="D27" s="4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>
        <f>IF(SUM(E27:N27)&gt;0,SUM(E27:N27),"")</f>
        <v/>
      </c>
      <c r="P27" s="4" t="n"/>
    </row>
    <row r="28">
      <c r="A28" s="12">
        <f>IF(B28=CONFIG!$G$5,A27+1,A27)</f>
        <v/>
      </c>
      <c r="B28" s="4">
        <f>IF(B27=CONFIG!$G$6,CONFIG!$G$5,CONFIG!$G$6)</f>
        <v/>
      </c>
      <c r="C28" s="4" t="n"/>
      <c r="D28" s="4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>
        <f>IF(SUM(E28:N28)&gt;0,SUM(E28:N28),"")</f>
        <v/>
      </c>
      <c r="P28" s="4" t="n"/>
    </row>
    <row r="29">
      <c r="A29" s="12">
        <f>IF(B29=CONFIG!$G$5,A28+1,A28)</f>
        <v/>
      </c>
      <c r="B29" s="4">
        <f>IF(B28=CONFIG!$G$6,CONFIG!$G$5,CONFIG!$G$6)</f>
        <v/>
      </c>
      <c r="C29" s="4" t="n"/>
      <c r="D29" s="4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>
        <f>IF(SUM(E29:N29)&gt;0,SUM(E29:N29),"")</f>
        <v/>
      </c>
      <c r="P29" s="4" t="n"/>
    </row>
    <row r="30">
      <c r="A30" s="12">
        <f>IF(B30=CONFIG!$G$5,A29+1,A29)</f>
        <v/>
      </c>
      <c r="B30" s="4">
        <f>IF(B29=CONFIG!$G$6,CONFIG!$G$5,CONFIG!$G$6)</f>
        <v/>
      </c>
      <c r="C30" s="4" t="n"/>
      <c r="D30" s="4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>
        <f>IF(SUM(E30:N30)&gt;0,SUM(E30:N30),"")</f>
        <v/>
      </c>
      <c r="P30" s="4" t="n"/>
    </row>
    <row r="31">
      <c r="A31" s="12">
        <f>IF(B31=CONFIG!$G$5,A30+1,A30)</f>
        <v/>
      </c>
      <c r="B31" s="4">
        <f>IF(B30=CONFIG!$G$6,CONFIG!$G$5,CONFIG!$G$6)</f>
        <v/>
      </c>
      <c r="C31" s="4" t="n"/>
      <c r="D31" s="4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>
        <f>IF(SUM(E31:N31)&gt;0,SUM(E31:N31),"")</f>
        <v/>
      </c>
      <c r="P31" s="4" t="n"/>
    </row>
    <row r="32">
      <c r="A32" s="12">
        <f>IF(B32=CONFIG!$G$5,A31+1,A31)</f>
        <v/>
      </c>
      <c r="B32" s="4">
        <f>IF(B31=CONFIG!$G$6,CONFIG!$G$5,CONFIG!$G$6)</f>
        <v/>
      </c>
      <c r="C32" s="4" t="n"/>
      <c r="D32" s="4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>
        <f>IF(SUM(E32:N32)&gt;0,SUM(E32:N32),"")</f>
        <v/>
      </c>
      <c r="P32" s="4" t="n"/>
    </row>
    <row r="33">
      <c r="A33" s="12">
        <f>IF(B33=CONFIG!$G$5,A32+1,A32)</f>
        <v/>
      </c>
      <c r="B33" s="4">
        <f>IF(B32=CONFIG!$G$6,CONFIG!$G$5,CONFIG!$G$6)</f>
        <v/>
      </c>
      <c r="C33" s="4" t="n"/>
      <c r="D33" s="4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>
        <f>IF(SUM(E33:N33)&gt;0,SUM(E33:N33),"")</f>
        <v/>
      </c>
      <c r="P33" s="4" t="n"/>
    </row>
    <row r="34">
      <c r="A34" s="12">
        <f>IF(B34=CONFIG!$G$5,A33+1,A33)</f>
        <v/>
      </c>
      <c r="B34" s="4">
        <f>IF(B33=CONFIG!$G$6,CONFIG!$G$5,CONFIG!$G$6)</f>
        <v/>
      </c>
      <c r="C34" s="4" t="n"/>
      <c r="D34" s="4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>
        <f>IF(SUM(E34:N34)&gt;0,SUM(E34:N34),"")</f>
        <v/>
      </c>
      <c r="P34" s="4" t="n"/>
    </row>
    <row r="35">
      <c r="A35" s="12">
        <f>IF(B35=CONFIG!$G$5,A34+1,A34)</f>
        <v/>
      </c>
      <c r="B35" s="4">
        <f>IF(B34=CONFIG!$G$6,CONFIG!$G$5,CONFIG!$G$6)</f>
        <v/>
      </c>
      <c r="C35" s="4" t="n"/>
      <c r="D35" s="4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>
        <f>IF(SUM(E35:N35)&gt;0,SUM(E35:N35),"")</f>
        <v/>
      </c>
      <c r="P35" s="4" t="n"/>
    </row>
    <row r="36">
      <c r="A36" s="12">
        <f>IF(B36=CONFIG!$G$5,A35+1,A35)</f>
        <v/>
      </c>
      <c r="B36" s="4">
        <f>IF(B35=CONFIG!$G$6,CONFIG!$G$5,CONFIG!$G$6)</f>
        <v/>
      </c>
      <c r="C36" s="4" t="n"/>
      <c r="D36" s="4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>
        <f>IF(SUM(E36:N36)&gt;0,SUM(E36:N36),"")</f>
        <v/>
      </c>
      <c r="P36" s="4" t="n"/>
    </row>
    <row r="37">
      <c r="A37" s="12">
        <f>IF(B37=CONFIG!$G$5,A36+1,A36)</f>
        <v/>
      </c>
      <c r="B37" s="4">
        <f>IF(B36=CONFIG!$G$6,CONFIG!$G$5,CONFIG!$G$6)</f>
        <v/>
      </c>
      <c r="C37" s="4" t="n"/>
      <c r="D37" s="4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>
        <f>IF(SUM(E37:N37)&gt;0,SUM(E37:N37),"")</f>
        <v/>
      </c>
      <c r="P37" s="4" t="n"/>
    </row>
    <row r="38">
      <c r="A38" s="12">
        <f>IF(B38=CONFIG!$G$5,A37+1,A37)</f>
        <v/>
      </c>
      <c r="B38" s="4">
        <f>IF(B37=CONFIG!$G$6,CONFIG!$G$5,CONFIG!$G$6)</f>
        <v/>
      </c>
      <c r="C38" s="4" t="n"/>
      <c r="D38" s="4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>
        <f>IF(SUM(E38:N38)&gt;0,SUM(E38:N38),"")</f>
        <v/>
      </c>
      <c r="P38" s="4" t="n"/>
    </row>
    <row r="39">
      <c r="A39" s="12">
        <f>IF(B39=CONFIG!$G$5,A38+1,A38)</f>
        <v/>
      </c>
      <c r="B39" s="4">
        <f>IF(B38=CONFIG!$G$6,CONFIG!$G$5,CONFIG!$G$6)</f>
        <v/>
      </c>
      <c r="C39" s="4" t="n"/>
      <c r="D39" s="4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>
        <f>IF(SUM(E39:N39)&gt;0,SUM(E39:N39),"")</f>
        <v/>
      </c>
      <c r="P39" s="4" t="n"/>
    </row>
    <row r="40">
      <c r="A40" s="12">
        <f>IF(B40=CONFIG!$G$5,A39+1,A39)</f>
        <v/>
      </c>
      <c r="B40" s="4">
        <f>IF(B39=CONFIG!$G$6,CONFIG!$G$5,CONFIG!$G$6)</f>
        <v/>
      </c>
      <c r="C40" s="4" t="n"/>
      <c r="D40" s="4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>
        <f>IF(SUM(E40:N40)&gt;0,SUM(E40:N40),"")</f>
        <v/>
      </c>
      <c r="P40" s="4" t="n"/>
    </row>
    <row r="41">
      <c r="A41" s="12">
        <f>IF(B41=CONFIG!$G$5,A40+1,A40)</f>
        <v/>
      </c>
      <c r="B41" s="4">
        <f>IF(B40=CONFIG!$G$6,CONFIG!$G$5,CONFIG!$G$6)</f>
        <v/>
      </c>
      <c r="C41" s="4" t="n"/>
      <c r="D41" s="4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>
        <f>IF(SUM(E41:N41)&gt;0,SUM(E41:N41),"")</f>
        <v/>
      </c>
      <c r="P41" s="4" t="n"/>
    </row>
    <row r="42">
      <c r="A42" s="12">
        <f>IF(B42=CONFIG!$G$5,A41+1,A41)</f>
        <v/>
      </c>
      <c r="B42" s="4">
        <f>IF(B41=CONFIG!$G$6,CONFIG!$G$5,CONFIG!$G$6)</f>
        <v/>
      </c>
      <c r="C42" s="4" t="n"/>
      <c r="D42" s="4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>
        <f>IF(SUM(E42:N42)&gt;0,SUM(E42:N42),"")</f>
        <v/>
      </c>
      <c r="P42" s="4" t="n"/>
    </row>
    <row r="43">
      <c r="A43" s="12">
        <f>IF(B43=CONFIG!$G$5,A42+1,A42)</f>
        <v/>
      </c>
      <c r="B43" s="4">
        <f>IF(B42=CONFIG!$G$6,CONFIG!$G$5,CONFIG!$G$6)</f>
        <v/>
      </c>
      <c r="C43" s="4" t="n"/>
      <c r="D43" s="4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>
        <f>IF(SUM(E43:N43)&gt;0,SUM(E43:N43),"")</f>
        <v/>
      </c>
      <c r="P43" s="4" t="n"/>
    </row>
    <row r="44">
      <c r="A44" s="12">
        <f>IF(B44=CONFIG!$G$5,A43+1,A43)</f>
        <v/>
      </c>
      <c r="B44" s="4">
        <f>IF(B43=CONFIG!$G$6,CONFIG!$G$5,CONFIG!$G$6)</f>
        <v/>
      </c>
      <c r="C44" s="4" t="n"/>
      <c r="D44" s="4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>
        <f>IF(SUM(E44:N44)&gt;0,SUM(E44:N44),"")</f>
        <v/>
      </c>
      <c r="P44" s="4" t="n"/>
    </row>
    <row r="45">
      <c r="A45" s="12">
        <f>IF(B45=CONFIG!$G$5,A44+1,A44)</f>
        <v/>
      </c>
      <c r="B45" s="4">
        <f>IF(B44=CONFIG!$G$6,CONFIG!$G$5,CONFIG!$G$6)</f>
        <v/>
      </c>
      <c r="C45" s="4" t="n"/>
      <c r="D45" s="4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>
        <f>IF(SUM(E45:N45)&gt;0,SUM(E45:N45),"")</f>
        <v/>
      </c>
      <c r="P45" s="4" t="n"/>
    </row>
    <row r="46">
      <c r="A46" s="12">
        <f>IF(B46=CONFIG!$G$5,A45+1,A45)</f>
        <v/>
      </c>
      <c r="B46" s="4">
        <f>IF(B45=CONFIG!$G$6,CONFIG!$G$5,CONFIG!$G$6)</f>
        <v/>
      </c>
      <c r="C46" s="4" t="n"/>
      <c r="D46" s="4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>
        <f>IF(SUM(E46:N46)&gt;0,SUM(E46:N46),"")</f>
        <v/>
      </c>
      <c r="P46" s="4" t="n"/>
    </row>
    <row r="47">
      <c r="A47" s="12">
        <f>IF(B47=CONFIG!$G$5,A46+1,A46)</f>
        <v/>
      </c>
      <c r="B47" s="4">
        <f>IF(B46=CONFIG!$G$6,CONFIG!$G$5,CONFIG!$G$6)</f>
        <v/>
      </c>
      <c r="C47" s="4" t="n"/>
      <c r="D47" s="4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>
        <f>IF(SUM(E47:N47)&gt;0,SUM(E47:N47),"")</f>
        <v/>
      </c>
      <c r="P47" s="4" t="n"/>
    </row>
    <row r="48">
      <c r="A48" s="12">
        <f>IF(B48=CONFIG!$G$5,A47+1,A47)</f>
        <v/>
      </c>
      <c r="B48" s="4">
        <f>IF(B47=CONFIG!$G$6,CONFIG!$G$5,CONFIG!$G$6)</f>
        <v/>
      </c>
      <c r="C48" s="4" t="n"/>
      <c r="D48" s="4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>
        <f>IF(SUM(E48:N48)&gt;0,SUM(E48:N48),"")</f>
        <v/>
      </c>
      <c r="P48" s="4" t="n"/>
    </row>
    <row r="49">
      <c r="A49" s="12">
        <f>IF(B49=CONFIG!$G$5,A48+1,A48)</f>
        <v/>
      </c>
      <c r="B49" s="4">
        <f>IF(B48=CONFIG!$G$6,CONFIG!$G$5,CONFIG!$G$6)</f>
        <v/>
      </c>
      <c r="C49" s="4" t="n"/>
      <c r="D49" s="4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>
        <f>IF(SUM(E49:N49)&gt;0,SUM(E49:N49),"")</f>
        <v/>
      </c>
      <c r="P49" s="4" t="n"/>
    </row>
    <row r="50">
      <c r="A50" s="12">
        <f>IF(B50=CONFIG!$G$5,A49+1,A49)</f>
        <v/>
      </c>
      <c r="B50" s="4">
        <f>IF(B49=CONFIG!$G$6,CONFIG!$G$5,CONFIG!$G$6)</f>
        <v/>
      </c>
      <c r="C50" s="4" t="n"/>
      <c r="D50" s="4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>
        <f>IF(SUM(E50:N50)&gt;0,SUM(E50:N50),"")</f>
        <v/>
      </c>
      <c r="P50" s="4" t="n"/>
    </row>
    <row r="51">
      <c r="A51" s="12">
        <f>IF(B51=CONFIG!$G$5,A50+1,A50)</f>
        <v/>
      </c>
      <c r="B51" s="4">
        <f>IF(B50=CONFIG!$G$6,CONFIG!$G$5,CONFIG!$G$6)</f>
        <v/>
      </c>
      <c r="C51" s="4" t="n"/>
      <c r="D51" s="4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>
        <f>IF(SUM(E51:N51)&gt;0,SUM(E51:N51),"")</f>
        <v/>
      </c>
      <c r="P51" s="4" t="n"/>
    </row>
    <row r="52">
      <c r="A52" s="12">
        <f>IF(B52=CONFIG!$G$5,A51+1,A51)</f>
        <v/>
      </c>
      <c r="B52" s="4">
        <f>IF(B51=CONFIG!$G$6,CONFIG!$G$5,CONFIG!$G$6)</f>
        <v/>
      </c>
      <c r="C52" s="4" t="n"/>
      <c r="D52" s="4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>
        <f>IF(SUM(E52:N52)&gt;0,SUM(E52:N52),"")</f>
        <v/>
      </c>
      <c r="P52" s="4" t="n"/>
    </row>
    <row r="53">
      <c r="A53" s="12">
        <f>IF(B53=CONFIG!$G$5,A52+1,A52)</f>
        <v/>
      </c>
      <c r="B53" s="4">
        <f>IF(B52=CONFIG!$G$6,CONFIG!$G$5,CONFIG!$G$6)</f>
        <v/>
      </c>
      <c r="C53" s="4" t="n"/>
      <c r="D53" s="4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>
        <f>IF(SUM(E53:N53)&gt;0,SUM(E53:N53),"")</f>
        <v/>
      </c>
      <c r="P53" s="4" t="n"/>
    </row>
    <row r="54">
      <c r="A54" s="12">
        <f>IF(B54=CONFIG!$G$5,A53+1,A53)</f>
        <v/>
      </c>
      <c r="B54" s="4">
        <f>IF(B53=CONFIG!$G$6,CONFIG!$G$5,CONFIG!$G$6)</f>
        <v/>
      </c>
      <c r="C54" s="4" t="n"/>
      <c r="D54" s="4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>
        <f>IF(SUM(E54:N54)&gt;0,SUM(E54:N54),"")</f>
        <v/>
      </c>
      <c r="P54" s="4" t="n"/>
    </row>
    <row r="55">
      <c r="A55" s="12">
        <f>IF(B55=CONFIG!$G$5,A54+1,A54)</f>
        <v/>
      </c>
      <c r="B55" s="4">
        <f>IF(B54=CONFIG!$G$6,CONFIG!$G$5,CONFIG!$G$6)</f>
        <v/>
      </c>
      <c r="C55" s="4" t="n"/>
      <c r="D55" s="4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>
        <f>IF(SUM(E55:N55)&gt;0,SUM(E55:N55),"")</f>
        <v/>
      </c>
      <c r="P55" s="4" t="n"/>
    </row>
    <row r="56">
      <c r="A56" s="12">
        <f>IF(B56=CONFIG!$G$5,A55+1,A55)</f>
        <v/>
      </c>
      <c r="B56" s="4">
        <f>IF(B55=CONFIG!$G$6,CONFIG!$G$5,CONFIG!$G$6)</f>
        <v/>
      </c>
      <c r="C56" s="4" t="n"/>
      <c r="D56" s="4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>
        <f>IF(SUM(E56:N56)&gt;0,SUM(E56:N56),"")</f>
        <v/>
      </c>
      <c r="P56" s="4" t="n"/>
    </row>
    <row r="57">
      <c r="A57" s="12">
        <f>IF(B57=CONFIG!$G$5,A56+1,A56)</f>
        <v/>
      </c>
      <c r="B57" s="4">
        <f>IF(B56=CONFIG!$G$6,CONFIG!$G$5,CONFIG!$G$6)</f>
        <v/>
      </c>
      <c r="C57" s="4" t="n"/>
      <c r="D57" s="4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>
        <f>IF(SUM(E57:N57)&gt;0,SUM(E57:N57),"")</f>
        <v/>
      </c>
      <c r="P57" s="4" t="n"/>
    </row>
    <row r="58">
      <c r="A58" s="12">
        <f>IF(B58=CONFIG!$G$5,A57+1,A57)</f>
        <v/>
      </c>
      <c r="B58" s="4">
        <f>IF(B57=CONFIG!$G$6,CONFIG!$G$5,CONFIG!$G$6)</f>
        <v/>
      </c>
      <c r="C58" s="4" t="n"/>
      <c r="D58" s="4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>
        <f>IF(SUM(E58:N58)&gt;0,SUM(E58:N58),"")</f>
        <v/>
      </c>
      <c r="P58" s="4" t="n"/>
    </row>
    <row r="59">
      <c r="A59" s="12">
        <f>IF(B59=CONFIG!$G$5,A58+1,A58)</f>
        <v/>
      </c>
      <c r="B59" s="4">
        <f>IF(B58=CONFIG!$G$6,CONFIG!$G$5,CONFIG!$G$6)</f>
        <v/>
      </c>
      <c r="C59" s="4" t="n"/>
      <c r="D59" s="4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>
        <f>IF(SUM(E59:N59)&gt;0,SUM(E59:N59),"")</f>
        <v/>
      </c>
      <c r="P59" s="4" t="n"/>
    </row>
    <row r="60">
      <c r="A60" s="12">
        <f>IF(B60=CONFIG!$G$5,A59+1,A59)</f>
        <v/>
      </c>
      <c r="B60" s="4">
        <f>IF(B59=CONFIG!$G$6,CONFIG!$G$5,CONFIG!$G$6)</f>
        <v/>
      </c>
      <c r="C60" s="4" t="n"/>
      <c r="D60" s="4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>
        <f>IF(SUM(E60:N60)&gt;0,SUM(E60:N60),"")</f>
        <v/>
      </c>
      <c r="P60" s="4" t="n"/>
    </row>
    <row r="61">
      <c r="A61" s="12">
        <f>IF(B61=CONFIG!$G$5,A60+1,A60)</f>
        <v/>
      </c>
      <c r="B61" s="4">
        <f>IF(B60=CONFIG!$G$6,CONFIG!$G$5,CONFIG!$G$6)</f>
        <v/>
      </c>
      <c r="C61" s="4" t="n"/>
      <c r="D61" s="4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>
        <f>IF(SUM(E61:N61)&gt;0,SUM(E61:N61),"")</f>
        <v/>
      </c>
      <c r="P61" s="4" t="n"/>
    </row>
    <row r="62">
      <c r="A62" s="12">
        <f>IF(B62=CONFIG!$G$5,A61+1,A61)</f>
        <v/>
      </c>
      <c r="B62" s="4">
        <f>IF(B61=CONFIG!$G$6,CONFIG!$G$5,CONFIG!$G$6)</f>
        <v/>
      </c>
      <c r="C62" s="4" t="n"/>
      <c r="D62" s="4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>
        <f>IF(SUM(E62:N62)&gt;0,SUM(E62:N62),"")</f>
        <v/>
      </c>
      <c r="P62" s="4" t="n"/>
    </row>
    <row r="63">
      <c r="A63" s="12">
        <f>IF(B63=CONFIG!$G$5,A62+1,A62)</f>
        <v/>
      </c>
      <c r="B63" s="4">
        <f>IF(B62=CONFIG!$G$6,CONFIG!$G$5,CONFIG!$G$6)</f>
        <v/>
      </c>
      <c r="C63" s="4" t="n"/>
      <c r="D63" s="4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>
        <f>IF(SUM(E63:N63)&gt;0,SUM(E63:N63),"")</f>
        <v/>
      </c>
      <c r="P63" s="4" t="n"/>
    </row>
    <row r="64">
      <c r="A64" s="12">
        <f>IF(B64=CONFIG!$G$5,A63+1,A63)</f>
        <v/>
      </c>
      <c r="B64" s="4">
        <f>IF(B63=CONFIG!$G$6,CONFIG!$G$5,CONFIG!$G$6)</f>
        <v/>
      </c>
      <c r="C64" s="4" t="n"/>
      <c r="D64" s="4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>
        <f>IF(SUM(E64:N64)&gt;0,SUM(E64:N64),"")</f>
        <v/>
      </c>
      <c r="P64" s="4" t="n"/>
    </row>
    <row r="65">
      <c r="A65" s="12">
        <f>IF(B65=CONFIG!$G$5,A64+1,A64)</f>
        <v/>
      </c>
      <c r="B65" s="4">
        <f>IF(B64=CONFIG!$G$6,CONFIG!$G$5,CONFIG!$G$6)</f>
        <v/>
      </c>
      <c r="C65" s="4" t="n"/>
      <c r="D65" s="4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>
        <f>IF(SUM(E65:N65)&gt;0,SUM(E65:N65),"")</f>
        <v/>
      </c>
      <c r="P65" s="4" t="n"/>
    </row>
    <row r="66">
      <c r="A66" s="12">
        <f>IF(B66=CONFIG!$G$5,A65+1,A65)</f>
        <v/>
      </c>
      <c r="B66" s="4">
        <f>IF(B65=CONFIG!$G$6,CONFIG!$G$5,CONFIG!$G$6)</f>
        <v/>
      </c>
      <c r="C66" s="4" t="n"/>
      <c r="D66" s="4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>
        <f>IF(SUM(E66:N66)&gt;0,SUM(E66:N66),"")</f>
        <v/>
      </c>
      <c r="P66" s="4" t="n"/>
    </row>
    <row r="67">
      <c r="A67" s="12">
        <f>IF(B67=CONFIG!$G$5,A66+1,A66)</f>
        <v/>
      </c>
      <c r="B67" s="4">
        <f>IF(B66=CONFIG!$G$6,CONFIG!$G$5,CONFIG!$G$6)</f>
        <v/>
      </c>
      <c r="C67" s="4" t="n"/>
      <c r="D67" s="4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>
        <f>IF(SUM(E67:N67)&gt;0,SUM(E67:N67),"")</f>
        <v/>
      </c>
      <c r="P67" s="4" t="n"/>
    </row>
    <row r="68">
      <c r="A68" s="12">
        <f>IF(B68=CONFIG!$G$5,A67+1,A67)</f>
        <v/>
      </c>
      <c r="B68" s="4">
        <f>IF(B67=CONFIG!$G$6,CONFIG!$G$5,CONFIG!$G$6)</f>
        <v/>
      </c>
      <c r="C68" s="4" t="n"/>
      <c r="D68" s="4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>
        <f>IF(SUM(E68:N68)&gt;0,SUM(E68:N68),"")</f>
        <v/>
      </c>
      <c r="P68" s="4" t="n"/>
    </row>
    <row r="69">
      <c r="A69" s="12">
        <f>IF(B69=CONFIG!$G$5,A68+1,A68)</f>
        <v/>
      </c>
      <c r="B69" s="4">
        <f>IF(B68=CONFIG!$G$6,CONFIG!$G$5,CONFIG!$G$6)</f>
        <v/>
      </c>
      <c r="C69" s="4" t="n"/>
      <c r="D69" s="4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>
        <f>IF(SUM(E69:N69)&gt;0,SUM(E69:N69),"")</f>
        <v/>
      </c>
      <c r="P69" s="4" t="n"/>
    </row>
    <row r="70">
      <c r="A70" s="12">
        <f>IF(B70=CONFIG!$G$5,A69+1,A69)</f>
        <v/>
      </c>
      <c r="B70" s="4">
        <f>IF(B69=CONFIG!$G$6,CONFIG!$G$5,CONFIG!$G$6)</f>
        <v/>
      </c>
      <c r="C70" s="4" t="n"/>
      <c r="D70" s="4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>
        <f>IF(SUM(E70:N70)&gt;0,SUM(E70:N70),"")</f>
        <v/>
      </c>
      <c r="P70" s="4" t="n"/>
    </row>
    <row r="71">
      <c r="A71" s="12">
        <f>IF(B71=CONFIG!$G$5,A70+1,A70)</f>
        <v/>
      </c>
      <c r="B71" s="4">
        <f>IF(B70=CONFIG!$G$6,CONFIG!$G$5,CONFIG!$G$6)</f>
        <v/>
      </c>
      <c r="C71" s="4" t="n"/>
      <c r="D71" s="4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>
        <f>IF(SUM(E71:N71)&gt;0,SUM(E71:N71),"")</f>
        <v/>
      </c>
      <c r="P71" s="4" t="n"/>
    </row>
    <row r="72">
      <c r="A72" s="12">
        <f>IF(B72=CONFIG!$G$5,A71+1,A71)</f>
        <v/>
      </c>
      <c r="B72" s="4">
        <f>IF(B71=CONFIG!$G$6,CONFIG!$G$5,CONFIG!$G$6)</f>
        <v/>
      </c>
      <c r="C72" s="4" t="n"/>
      <c r="D72" s="4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>
        <f>IF(SUM(E72:N72)&gt;0,SUM(E72:N72),"")</f>
        <v/>
      </c>
      <c r="P72" s="4" t="n"/>
    </row>
    <row r="73">
      <c r="A73" s="12">
        <f>IF(B73=CONFIG!$G$5,A72+1,A72)</f>
        <v/>
      </c>
      <c r="B73" s="4">
        <f>IF(B72=CONFIG!$G$6,CONFIG!$G$5,CONFIG!$G$6)</f>
        <v/>
      </c>
      <c r="C73" s="4" t="n"/>
      <c r="D73" s="4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>
        <f>IF(SUM(E73:N73)&gt;0,SUM(E73:N73),"")</f>
        <v/>
      </c>
      <c r="P73" s="4" t="n"/>
    </row>
    <row r="74">
      <c r="A74" s="12">
        <f>IF(B74=CONFIG!$G$5,A73+1,A73)</f>
        <v/>
      </c>
      <c r="B74" s="4">
        <f>IF(B73=CONFIG!$G$6,CONFIG!$G$5,CONFIG!$G$6)</f>
        <v/>
      </c>
      <c r="C74" s="4" t="n"/>
      <c r="D74" s="4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>
        <f>IF(SUM(E74:N74)&gt;0,SUM(E74:N74),"")</f>
        <v/>
      </c>
      <c r="P74" s="4" t="n"/>
    </row>
    <row r="75">
      <c r="A75" s="12">
        <f>IF(B75=CONFIG!$G$5,A74+1,A74)</f>
        <v/>
      </c>
      <c r="B75" s="4">
        <f>IF(B74=CONFIG!$G$6,CONFIG!$G$5,CONFIG!$G$6)</f>
        <v/>
      </c>
      <c r="C75" s="4" t="n"/>
      <c r="D75" s="4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>
        <f>IF(SUM(E75:N75)&gt;0,SUM(E75:N75),"")</f>
        <v/>
      </c>
      <c r="P75" s="4" t="n"/>
    </row>
    <row r="76">
      <c r="A76" s="12">
        <f>IF(B76=CONFIG!$G$5,A75+1,A75)</f>
        <v/>
      </c>
      <c r="B76" s="4">
        <f>IF(B75=CONFIG!$G$6,CONFIG!$G$5,CONFIG!$G$6)</f>
        <v/>
      </c>
      <c r="C76" s="4" t="n"/>
      <c r="D76" s="4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>
        <f>IF(SUM(E76:N76)&gt;0,SUM(E76:N76),"")</f>
        <v/>
      </c>
      <c r="P76" s="4" t="n"/>
    </row>
    <row r="77">
      <c r="A77" s="12">
        <f>IF(B77=CONFIG!$G$5,A76+1,A76)</f>
        <v/>
      </c>
      <c r="B77" s="4">
        <f>IF(B76=CONFIG!$G$6,CONFIG!$G$5,CONFIG!$G$6)</f>
        <v/>
      </c>
      <c r="C77" s="4" t="n"/>
      <c r="D77" s="4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>
        <f>IF(SUM(E77:N77)&gt;0,SUM(E77:N77),"")</f>
        <v/>
      </c>
      <c r="P77" s="4" t="n"/>
    </row>
    <row r="78">
      <c r="A78" s="12">
        <f>IF(B78=CONFIG!$G$5,A77+1,A77)</f>
        <v/>
      </c>
      <c r="B78" s="4">
        <f>IF(B77=CONFIG!$G$6,CONFIG!$G$5,CONFIG!$G$6)</f>
        <v/>
      </c>
      <c r="C78" s="4" t="n"/>
      <c r="D78" s="4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>
        <f>IF(SUM(E78:N78)&gt;0,SUM(E78:N78),"")</f>
        <v/>
      </c>
      <c r="P78" s="4" t="n"/>
    </row>
    <row r="79">
      <c r="A79" s="12">
        <f>IF(B79=CONFIG!$G$5,A78+1,A78)</f>
        <v/>
      </c>
      <c r="B79" s="4">
        <f>IF(B78=CONFIG!$G$6,CONFIG!$G$5,CONFIG!$G$6)</f>
        <v/>
      </c>
      <c r="C79" s="4" t="n"/>
      <c r="D79" s="4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>
        <f>IF(SUM(E79:N79)&gt;0,SUM(E79:N79),"")</f>
        <v/>
      </c>
      <c r="P79" s="4" t="n"/>
    </row>
    <row r="80">
      <c r="A80" s="12">
        <f>IF(B80=CONFIG!$G$5,A79+1,A79)</f>
        <v/>
      </c>
      <c r="B80" s="4">
        <f>IF(B79=CONFIG!$G$6,CONFIG!$G$5,CONFIG!$G$6)</f>
        <v/>
      </c>
      <c r="C80" s="4" t="n"/>
      <c r="D80" s="4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>
        <f>IF(SUM(E80:N80)&gt;0,SUM(E80:N80),"")</f>
        <v/>
      </c>
      <c r="P80" s="4" t="n"/>
    </row>
    <row r="81">
      <c r="A81" s="12">
        <f>IF(B81=CONFIG!$G$5,A80+1,A80)</f>
        <v/>
      </c>
      <c r="B81" s="4">
        <f>IF(B80=CONFIG!$G$6,CONFIG!$G$5,CONFIG!$G$6)</f>
        <v/>
      </c>
      <c r="C81" s="4" t="n"/>
      <c r="D81" s="4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>
        <f>IF(SUM(E81:N81)&gt;0,SUM(E81:N81),"")</f>
        <v/>
      </c>
      <c r="P81" s="4" t="n"/>
    </row>
    <row r="82">
      <c r="A82" s="12">
        <f>IF(B82=CONFIG!$G$5,A81+1,A81)</f>
        <v/>
      </c>
      <c r="B82" s="4">
        <f>IF(B81=CONFIG!$G$6,CONFIG!$G$5,CONFIG!$G$6)</f>
        <v/>
      </c>
      <c r="C82" s="4" t="n"/>
      <c r="D82" s="4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>
        <f>IF(SUM(E82:N82)&gt;0,SUM(E82:N82),"")</f>
        <v/>
      </c>
      <c r="P82" s="4" t="n"/>
    </row>
    <row r="83">
      <c r="A83" s="12">
        <f>IF(B83=CONFIG!$G$5,A82+1,A82)</f>
        <v/>
      </c>
      <c r="B83" s="4">
        <f>IF(B82=CONFIG!$G$6,CONFIG!$G$5,CONFIG!$G$6)</f>
        <v/>
      </c>
      <c r="C83" s="4" t="n"/>
      <c r="D83" s="4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>
        <f>IF(SUM(E83:N83)&gt;0,SUM(E83:N83),"")</f>
        <v/>
      </c>
      <c r="P83" s="4" t="n"/>
    </row>
    <row r="84">
      <c r="A84" s="12">
        <f>IF(B84=CONFIG!$G$5,A83+1,A83)</f>
        <v/>
      </c>
      <c r="B84" s="4">
        <f>IF(B83=CONFIG!$G$6,CONFIG!$G$5,CONFIG!$G$6)</f>
        <v/>
      </c>
      <c r="C84" s="4" t="n"/>
      <c r="D84" s="4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>
        <f>IF(SUM(E84:N84)&gt;0,SUM(E84:N84),"")</f>
        <v/>
      </c>
      <c r="P84" s="4" t="n"/>
    </row>
    <row r="85">
      <c r="A85" s="12">
        <f>IF(B85=CONFIG!$G$5,A84+1,A84)</f>
        <v/>
      </c>
      <c r="B85" s="4">
        <f>IF(B84=CONFIG!$G$6,CONFIG!$G$5,CONFIG!$G$6)</f>
        <v/>
      </c>
      <c r="C85" s="4" t="n"/>
      <c r="D85" s="4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>
        <f>IF(SUM(E85:N85)&gt;0,SUM(E85:N85),"")</f>
        <v/>
      </c>
      <c r="P85" s="4" t="n"/>
    </row>
    <row r="86">
      <c r="A86" s="12">
        <f>IF(B86=CONFIG!$G$5,A85+1,A85)</f>
        <v/>
      </c>
      <c r="B86" s="4">
        <f>IF(B85=CONFIG!$G$6,CONFIG!$G$5,CONFIG!$G$6)</f>
        <v/>
      </c>
      <c r="C86" s="4" t="n"/>
      <c r="D86" s="4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>
        <f>IF(SUM(E86:N86)&gt;0,SUM(E86:N86),"")</f>
        <v/>
      </c>
      <c r="P86" s="4" t="n"/>
    </row>
    <row r="87">
      <c r="A87" s="12">
        <f>IF(B87=CONFIG!$G$5,A86+1,A86)</f>
        <v/>
      </c>
      <c r="B87" s="4">
        <f>IF(B86=CONFIG!$G$6,CONFIG!$G$5,CONFIG!$G$6)</f>
        <v/>
      </c>
      <c r="C87" s="4" t="n"/>
      <c r="D87" s="4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>
        <f>IF(SUM(E87:N87)&gt;0,SUM(E87:N87),"")</f>
        <v/>
      </c>
      <c r="P87" s="4" t="n"/>
    </row>
    <row r="88">
      <c r="A88" s="12">
        <f>IF(B88=CONFIG!$G$5,A87+1,A87)</f>
        <v/>
      </c>
      <c r="B88" s="4">
        <f>IF(B87=CONFIG!$G$6,CONFIG!$G$5,CONFIG!$G$6)</f>
        <v/>
      </c>
      <c r="C88" s="4" t="n"/>
      <c r="D88" s="4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>
        <f>IF(SUM(E88:N88)&gt;0,SUM(E88:N88),"")</f>
        <v/>
      </c>
      <c r="P88" s="4" t="n"/>
    </row>
    <row r="89">
      <c r="A89" s="12">
        <f>IF(B89=CONFIG!$G$5,A88+1,A88)</f>
        <v/>
      </c>
      <c r="B89" s="4">
        <f>IF(B88=CONFIG!$G$6,CONFIG!$G$5,CONFIG!$G$6)</f>
        <v/>
      </c>
      <c r="C89" s="4" t="n"/>
      <c r="D89" s="4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>
        <f>IF(SUM(E89:N89)&gt;0,SUM(E89:N89),"")</f>
        <v/>
      </c>
      <c r="P89" s="4" t="n"/>
    </row>
    <row r="90">
      <c r="A90" s="12">
        <f>IF(B90=CONFIG!$G$5,A89+1,A89)</f>
        <v/>
      </c>
      <c r="B90" s="4">
        <f>IF(B89=CONFIG!$G$6,CONFIG!$G$5,CONFIG!$G$6)</f>
        <v/>
      </c>
      <c r="C90" s="4" t="n"/>
      <c r="D90" s="4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>
        <f>IF(SUM(E90:N90)&gt;0,SUM(E90:N90),"")</f>
        <v/>
      </c>
      <c r="P90" s="4" t="n"/>
    </row>
    <row r="91">
      <c r="A91" s="12">
        <f>IF(B91=CONFIG!$G$5,A90+1,A90)</f>
        <v/>
      </c>
      <c r="B91" s="4">
        <f>IF(B90=CONFIG!$G$6,CONFIG!$G$5,CONFIG!$G$6)</f>
        <v/>
      </c>
      <c r="C91" s="4" t="n"/>
      <c r="D91" s="4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>
        <f>IF(SUM(E91:N91)&gt;0,SUM(E91:N91),"")</f>
        <v/>
      </c>
      <c r="P91" s="4" t="n"/>
    </row>
    <row r="92">
      <c r="A92" s="12">
        <f>IF(B92=CONFIG!$G$5,A91+1,A91)</f>
        <v/>
      </c>
      <c r="B92" s="4">
        <f>IF(B91=CONFIG!$G$6,CONFIG!$G$5,CONFIG!$G$6)</f>
        <v/>
      </c>
      <c r="C92" s="4" t="n"/>
      <c r="D92" s="4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>
        <f>IF(SUM(E92:N92)&gt;0,SUM(E92:N92),"")</f>
        <v/>
      </c>
      <c r="P92" s="4" t="n"/>
    </row>
    <row r="93">
      <c r="A93" s="12">
        <f>IF(B93=CONFIG!$G$5,A92+1,A92)</f>
        <v/>
      </c>
      <c r="B93" s="4">
        <f>IF(B92=CONFIG!$G$6,CONFIG!$G$5,CONFIG!$G$6)</f>
        <v/>
      </c>
      <c r="C93" s="4" t="n"/>
      <c r="D93" s="4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>
        <f>IF(SUM(E93:N93)&gt;0,SUM(E93:N93),"")</f>
        <v/>
      </c>
      <c r="P93" s="4" t="n"/>
    </row>
    <row r="94">
      <c r="A94" s="12">
        <f>IF(B94=CONFIG!$G$5,A93+1,A93)</f>
        <v/>
      </c>
      <c r="B94" s="4">
        <f>IF(B93=CONFIG!$G$6,CONFIG!$G$5,CONFIG!$G$6)</f>
        <v/>
      </c>
      <c r="C94" s="4" t="n"/>
      <c r="D94" s="4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>
        <f>IF(SUM(E94:N94)&gt;0,SUM(E94:N94),"")</f>
        <v/>
      </c>
      <c r="P94" s="4" t="n"/>
    </row>
    <row r="95">
      <c r="A95" s="12">
        <f>IF(B95=CONFIG!$G$5,A94+1,A94)</f>
        <v/>
      </c>
      <c r="B95" s="4">
        <f>IF(B94=CONFIG!$G$6,CONFIG!$G$5,CONFIG!$G$6)</f>
        <v/>
      </c>
      <c r="C95" s="4" t="n"/>
      <c r="D95" s="4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>
        <f>IF(SUM(E95:N95)&gt;0,SUM(E95:N95),"")</f>
        <v/>
      </c>
      <c r="P95" s="4" t="n"/>
    </row>
    <row r="96">
      <c r="A96" s="12">
        <f>IF(B96=CONFIG!$G$5,A95+1,A95)</f>
        <v/>
      </c>
      <c r="B96" s="4">
        <f>IF(B95=CONFIG!$G$6,CONFIG!$G$5,CONFIG!$G$6)</f>
        <v/>
      </c>
      <c r="C96" s="4" t="n"/>
      <c r="D96" s="4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>
        <f>IF(SUM(E96:N96)&gt;0,SUM(E96:N96),"")</f>
        <v/>
      </c>
      <c r="P96" s="4" t="n"/>
    </row>
    <row r="97">
      <c r="A97" s="12">
        <f>IF(B97=CONFIG!$G$5,A96+1,A96)</f>
        <v/>
      </c>
      <c r="B97" s="4">
        <f>IF(B96=CONFIG!$G$6,CONFIG!$G$5,CONFIG!$G$6)</f>
        <v/>
      </c>
      <c r="C97" s="4" t="n"/>
      <c r="D97" s="4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>
        <f>IF(SUM(E97:N97)&gt;0,SUM(E97:N97),"")</f>
        <v/>
      </c>
      <c r="P97" s="4" t="n"/>
    </row>
    <row r="98">
      <c r="A98" s="12">
        <f>IF(B98=CONFIG!$G$5,A97+1,A97)</f>
        <v/>
      </c>
      <c r="B98" s="4">
        <f>IF(B97=CONFIG!$G$6,CONFIG!$G$5,CONFIG!$G$6)</f>
        <v/>
      </c>
      <c r="C98" s="4" t="n"/>
      <c r="D98" s="4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>
        <f>IF(SUM(E98:N98)&gt;0,SUM(E98:N98),"")</f>
        <v/>
      </c>
      <c r="P98" s="4" t="n"/>
    </row>
    <row r="99">
      <c r="A99" s="12">
        <f>IF(B99=CONFIG!$G$5,A98+1,A98)</f>
        <v/>
      </c>
      <c r="B99" s="4">
        <f>IF(B98=CONFIG!$G$6,CONFIG!$G$5,CONFIG!$G$6)</f>
        <v/>
      </c>
      <c r="C99" s="4" t="n"/>
      <c r="D99" s="4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>
        <f>IF(SUM(E99:N99)&gt;0,SUM(E99:N99),"")</f>
        <v/>
      </c>
      <c r="P99" s="4" t="n"/>
    </row>
    <row r="100">
      <c r="A100" s="12">
        <f>IF(B100=CONFIG!$G$5,A99+1,A99)</f>
        <v/>
      </c>
      <c r="B100" s="4">
        <f>IF(B99=CONFIG!$G$6,CONFIG!$G$5,CONFIG!$G$6)</f>
        <v/>
      </c>
      <c r="C100" s="4" t="n"/>
      <c r="D100" s="4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>
        <f>IF(SUM(E100:N100)&gt;0,SUM(E100:N100),"")</f>
        <v/>
      </c>
      <c r="P100" s="4" t="n"/>
    </row>
    <row r="101">
      <c r="A101" s="12">
        <f>IF(B101=CONFIG!$G$5,A100+1,A100)</f>
        <v/>
      </c>
      <c r="B101" s="4">
        <f>IF(B100=CONFIG!$G$6,CONFIG!$G$5,CONFIG!$G$6)</f>
        <v/>
      </c>
      <c r="C101" s="4" t="n"/>
      <c r="D101" s="4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>
        <f>IF(SUM(E101:N101)&gt;0,SUM(E101:N101),"")</f>
        <v/>
      </c>
      <c r="P101" s="4" t="n"/>
    </row>
    <row r="102">
      <c r="A102" s="12">
        <f>IF(B102=CONFIG!$G$5,A101+1,A101)</f>
        <v/>
      </c>
      <c r="B102" s="4">
        <f>IF(B101=CONFIG!$G$6,CONFIG!$G$5,CONFIG!$G$6)</f>
        <v/>
      </c>
      <c r="C102" s="4" t="n"/>
      <c r="D102" s="4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>
        <f>IF(SUM(E102:N102)&gt;0,SUM(E102:N102),"")</f>
        <v/>
      </c>
      <c r="P102" s="4" t="n"/>
    </row>
    <row r="103">
      <c r="A103" s="12">
        <f>IF(B103=CONFIG!$G$5,A102+1,A102)</f>
        <v/>
      </c>
      <c r="B103" s="4">
        <f>IF(B102=CONFIG!$G$6,CONFIG!$G$5,CONFIG!$G$6)</f>
        <v/>
      </c>
      <c r="C103" s="4" t="n"/>
      <c r="D103" s="4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>
        <f>IF(SUM(E103:N103)&gt;0,SUM(E103:N103),"")</f>
        <v/>
      </c>
      <c r="P103" s="4" t="n"/>
    </row>
    <row r="104">
      <c r="A104" s="12">
        <f>IF(B104=CONFIG!$G$5,A103+1,A103)</f>
        <v/>
      </c>
      <c r="B104" s="4">
        <f>IF(B103=CONFIG!$G$6,CONFIG!$G$5,CONFIG!$G$6)</f>
        <v/>
      </c>
      <c r="C104" s="4" t="n"/>
      <c r="D104" s="4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>
        <f>IF(SUM(E104:N104)&gt;0,SUM(E104:N104),"")</f>
        <v/>
      </c>
      <c r="P104" s="4" t="n"/>
    </row>
    <row r="105">
      <c r="A105" s="12">
        <f>IF(B105=CONFIG!$G$5,A104+1,A104)</f>
        <v/>
      </c>
      <c r="B105" s="4">
        <f>IF(B104=CONFIG!$G$6,CONFIG!$G$5,CONFIG!$G$6)</f>
        <v/>
      </c>
      <c r="C105" s="4" t="n"/>
      <c r="D105" s="4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>
        <f>IF(SUM(E105:N105)&gt;0,SUM(E105:N105),"")</f>
        <v/>
      </c>
      <c r="P105" s="4" t="n"/>
    </row>
    <row r="106">
      <c r="A106" s="12">
        <f>IF(B106=CONFIG!$G$5,A105+1,A105)</f>
        <v/>
      </c>
      <c r="B106" s="4">
        <f>IF(B105=CONFIG!$G$6,CONFIG!$G$5,CONFIG!$G$6)</f>
        <v/>
      </c>
      <c r="C106" s="4" t="n"/>
      <c r="D106" s="4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>
        <f>IF(SUM(E106:N106)&gt;0,SUM(E106:N106),"")</f>
        <v/>
      </c>
      <c r="P106" s="4" t="n"/>
    </row>
    <row r="107">
      <c r="A107" s="12">
        <f>IF(B107=CONFIG!$G$5,A106+1,A106)</f>
        <v/>
      </c>
      <c r="B107" s="4">
        <f>IF(B106=CONFIG!$G$6,CONFIG!$G$5,CONFIG!$G$6)</f>
        <v/>
      </c>
      <c r="C107" s="4" t="n"/>
      <c r="D107" s="4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>
        <f>IF(SUM(E107:N107)&gt;0,SUM(E107:N107),"")</f>
        <v/>
      </c>
      <c r="P107" s="4" t="n"/>
    </row>
    <row r="108">
      <c r="A108" s="12">
        <f>IF(B108=CONFIG!$G$5,A107+1,A107)</f>
        <v/>
      </c>
      <c r="B108" s="4">
        <f>IF(B107=CONFIG!$G$6,CONFIG!$G$5,CONFIG!$G$6)</f>
        <v/>
      </c>
      <c r="C108" s="4" t="n"/>
      <c r="D108" s="4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>
        <f>IF(SUM(E108:N108)&gt;0,SUM(E108:N108),"")</f>
        <v/>
      </c>
      <c r="P108" s="4" t="n"/>
    </row>
    <row r="109">
      <c r="A109" s="12">
        <f>IF(B109=CONFIG!$G$5,A108+1,A108)</f>
        <v/>
      </c>
      <c r="B109" s="4">
        <f>IF(B108=CONFIG!$G$6,CONFIG!$G$5,CONFIG!$G$6)</f>
        <v/>
      </c>
      <c r="C109" s="4" t="n"/>
      <c r="D109" s="4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>
        <f>IF(SUM(E109:N109)&gt;0,SUM(E109:N109),"")</f>
        <v/>
      </c>
      <c r="P109" s="4" t="n"/>
    </row>
    <row r="110">
      <c r="A110" s="12">
        <f>IF(B110=CONFIG!$G$5,A109+1,A109)</f>
        <v/>
      </c>
      <c r="B110" s="4">
        <f>IF(B109=CONFIG!$G$6,CONFIG!$G$5,CONFIG!$G$6)</f>
        <v/>
      </c>
      <c r="C110" s="4" t="n"/>
      <c r="D110" s="4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>
        <f>IF(SUM(E110:N110)&gt;0,SUM(E110:N110),"")</f>
        <v/>
      </c>
      <c r="P110" s="4" t="n"/>
    </row>
    <row r="111">
      <c r="A111" s="12">
        <f>IF(B111=CONFIG!$G$5,A110+1,A110)</f>
        <v/>
      </c>
      <c r="B111" s="4">
        <f>IF(B110=CONFIG!$G$6,CONFIG!$G$5,CONFIG!$G$6)</f>
        <v/>
      </c>
      <c r="C111" s="4" t="n"/>
      <c r="D111" s="4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>
        <f>IF(SUM(E111:N111)&gt;0,SUM(E111:N111),"")</f>
        <v/>
      </c>
      <c r="P111" s="4" t="n"/>
    </row>
    <row r="112">
      <c r="A112" s="12">
        <f>IF(B112=CONFIG!$G$5,A111+1,A111)</f>
        <v/>
      </c>
      <c r="B112" s="4">
        <f>IF(B111=CONFIG!$G$6,CONFIG!$G$5,CONFIG!$G$6)</f>
        <v/>
      </c>
      <c r="C112" s="4" t="n"/>
      <c r="D112" s="4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>
        <f>IF(SUM(E112:N112)&gt;0,SUM(E112:N112),"")</f>
        <v/>
      </c>
      <c r="P112" s="4" t="n"/>
    </row>
    <row r="113">
      <c r="A113" s="12">
        <f>IF(B113=CONFIG!$G$5,A112+1,A112)</f>
        <v/>
      </c>
      <c r="B113" s="4">
        <f>IF(B112=CONFIG!$G$6,CONFIG!$G$5,CONFIG!$G$6)</f>
        <v/>
      </c>
      <c r="C113" s="4" t="n"/>
      <c r="D113" s="4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>
        <f>IF(SUM(E113:N113)&gt;0,SUM(E113:N113),"")</f>
        <v/>
      </c>
      <c r="P113" s="4" t="n"/>
    </row>
    <row r="114">
      <c r="A114" s="12">
        <f>IF(B114=CONFIG!$G$5,A113+1,A113)</f>
        <v/>
      </c>
      <c r="B114" s="4">
        <f>IF(B113=CONFIG!$G$6,CONFIG!$G$5,CONFIG!$G$6)</f>
        <v/>
      </c>
      <c r="C114" s="4" t="n"/>
      <c r="D114" s="4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>
        <f>IF(SUM(E114:N114)&gt;0,SUM(E114:N114),"")</f>
        <v/>
      </c>
      <c r="P114" s="4" t="n"/>
    </row>
    <row r="115">
      <c r="A115" s="12">
        <f>IF(B115=CONFIG!$G$5,A114+1,A114)</f>
        <v/>
      </c>
      <c r="B115" s="4">
        <f>IF(B114=CONFIG!$G$6,CONFIG!$G$5,CONFIG!$G$6)</f>
        <v/>
      </c>
      <c r="C115" s="4" t="n"/>
      <c r="D115" s="4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>
        <f>IF(SUM(E115:N115)&gt;0,SUM(E115:N115),"")</f>
        <v/>
      </c>
      <c r="P115" s="4" t="n"/>
    </row>
    <row r="116">
      <c r="A116" s="12">
        <f>IF(B116=CONFIG!$G$5,A115+1,A115)</f>
        <v/>
      </c>
      <c r="B116" s="4">
        <f>IF(B115=CONFIG!$G$6,CONFIG!$G$5,CONFIG!$G$6)</f>
        <v/>
      </c>
      <c r="C116" s="4" t="n"/>
      <c r="D116" s="4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>
        <f>IF(SUM(E116:N116)&gt;0,SUM(E116:N116),"")</f>
        <v/>
      </c>
      <c r="P116" s="4" t="n"/>
    </row>
    <row r="117">
      <c r="A117" s="12">
        <f>IF(B117=CONFIG!$G$5,A116+1,A116)</f>
        <v/>
      </c>
      <c r="B117" s="4">
        <f>IF(B116=CONFIG!$G$6,CONFIG!$G$5,CONFIG!$G$6)</f>
        <v/>
      </c>
      <c r="C117" s="4" t="n"/>
      <c r="D117" s="4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>
        <f>IF(SUM(E117:N117)&gt;0,SUM(E117:N117),"")</f>
        <v/>
      </c>
      <c r="P117" s="4" t="n"/>
    </row>
    <row r="118">
      <c r="A118" s="12">
        <f>IF(B118=CONFIG!$G$5,A117+1,A117)</f>
        <v/>
      </c>
      <c r="B118" s="4">
        <f>IF(B117=CONFIG!$G$6,CONFIG!$G$5,CONFIG!$G$6)</f>
        <v/>
      </c>
      <c r="C118" s="4" t="n"/>
      <c r="D118" s="4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>
        <f>IF(SUM(E118:N118)&gt;0,SUM(E118:N118),"")</f>
        <v/>
      </c>
      <c r="P118" s="4" t="n"/>
    </row>
    <row r="119">
      <c r="A119" s="12">
        <f>IF(B119=CONFIG!$G$5,A118+1,A118)</f>
        <v/>
      </c>
      <c r="B119" s="4">
        <f>IF(B118=CONFIG!$G$6,CONFIG!$G$5,CONFIG!$G$6)</f>
        <v/>
      </c>
      <c r="C119" s="4" t="n"/>
      <c r="D119" s="4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>
        <f>IF(SUM(E119:N119)&gt;0,SUM(E119:N119),"")</f>
        <v/>
      </c>
      <c r="P119" s="4" t="n"/>
    </row>
    <row r="120">
      <c r="A120" s="12">
        <f>IF(B120=CONFIG!$G$5,A119+1,A119)</f>
        <v/>
      </c>
      <c r="B120" s="4">
        <f>IF(B119=CONFIG!$G$6,CONFIG!$G$5,CONFIG!$G$6)</f>
        <v/>
      </c>
      <c r="C120" s="4" t="n"/>
      <c r="D120" s="4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>
        <f>IF(SUM(E120:N120)&gt;0,SUM(E120:N120),"")</f>
        <v/>
      </c>
      <c r="P120" s="4" t="n"/>
    </row>
    <row r="121">
      <c r="A121" s="12">
        <f>IF(B121=CONFIG!$G$5,A120+1,A120)</f>
        <v/>
      </c>
      <c r="B121" s="4">
        <f>IF(B120=CONFIG!$G$6,CONFIG!$G$5,CONFIG!$G$6)</f>
        <v/>
      </c>
      <c r="C121" s="4" t="n"/>
      <c r="D121" s="4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>
        <f>IF(SUM(E121:N121)&gt;0,SUM(E121:N121),"")</f>
        <v/>
      </c>
      <c r="P121" s="4" t="n"/>
    </row>
    <row r="122">
      <c r="A122" s="12">
        <f>IF(B122=CONFIG!$G$5,A121+1,A121)</f>
        <v/>
      </c>
      <c r="B122" s="4">
        <f>IF(B121=CONFIG!$G$6,CONFIG!$G$5,CONFIG!$G$6)</f>
        <v/>
      </c>
      <c r="C122" s="4" t="n"/>
      <c r="D122" s="4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>
        <f>IF(SUM(E122:N122)&gt;0,SUM(E122:N122),"")</f>
        <v/>
      </c>
      <c r="P122" s="4" t="n"/>
    </row>
    <row r="123">
      <c r="A123" s="12">
        <f>IF(B123=CONFIG!$G$5,A122+1,A122)</f>
        <v/>
      </c>
      <c r="B123" s="4">
        <f>IF(B122=CONFIG!$G$6,CONFIG!$G$5,CONFIG!$G$6)</f>
        <v/>
      </c>
      <c r="C123" s="4" t="n"/>
      <c r="D123" s="4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>
        <f>IF(SUM(E123:N123)&gt;0,SUM(E123:N123),"")</f>
        <v/>
      </c>
      <c r="P123" s="4" t="n"/>
    </row>
    <row r="124">
      <c r="A124" s="12">
        <f>IF(B124=CONFIG!$G$5,A123+1,A123)</f>
        <v/>
      </c>
      <c r="B124" s="4">
        <f>IF(B123=CONFIG!$G$6,CONFIG!$G$5,CONFIG!$G$6)</f>
        <v/>
      </c>
      <c r="C124" s="4" t="n"/>
      <c r="D124" s="4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>
        <f>IF(SUM(E124:N124)&gt;0,SUM(E124:N124),"")</f>
        <v/>
      </c>
      <c r="P124" s="4" t="n"/>
    </row>
    <row r="125">
      <c r="A125" s="12">
        <f>IF(B125=CONFIG!$G$5,A124+1,A124)</f>
        <v/>
      </c>
      <c r="B125" s="4">
        <f>IF(B124=CONFIG!$G$6,CONFIG!$G$5,CONFIG!$G$6)</f>
        <v/>
      </c>
      <c r="C125" s="4" t="n"/>
      <c r="D125" s="4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>
        <f>IF(SUM(E125:N125)&gt;0,SUM(E125:N125),"")</f>
        <v/>
      </c>
      <c r="P125" s="4" t="n"/>
    </row>
    <row r="126">
      <c r="A126" s="12">
        <f>IF(B126=CONFIG!$G$5,A125+1,A125)</f>
        <v/>
      </c>
      <c r="B126" s="4">
        <f>IF(B125=CONFIG!$G$6,CONFIG!$G$5,CONFIG!$G$6)</f>
        <v/>
      </c>
      <c r="C126" s="4" t="n"/>
      <c r="D126" s="4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>
        <f>IF(SUM(E126:N126)&gt;0,SUM(E126:N126),"")</f>
        <v/>
      </c>
      <c r="P126" s="4" t="n"/>
    </row>
    <row r="127">
      <c r="A127" s="12">
        <f>IF(B127=CONFIG!$G$5,A126+1,A126)</f>
        <v/>
      </c>
      <c r="B127" s="4">
        <f>IF(B126=CONFIG!$G$6,CONFIG!$G$5,CONFIG!$G$6)</f>
        <v/>
      </c>
      <c r="C127" s="4" t="n"/>
      <c r="D127" s="4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>
        <f>IF(SUM(E127:N127)&gt;0,SUM(E127:N127),"")</f>
        <v/>
      </c>
      <c r="P127" s="4" t="n"/>
    </row>
    <row r="128">
      <c r="A128" s="12">
        <f>IF(B128=CONFIG!$G$5,A127+1,A127)</f>
        <v/>
      </c>
      <c r="B128" s="4">
        <f>IF(B127=CONFIG!$G$6,CONFIG!$G$5,CONFIG!$G$6)</f>
        <v/>
      </c>
      <c r="C128" s="4" t="n"/>
      <c r="D128" s="4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>
        <f>IF(SUM(E128:N128)&gt;0,SUM(E128:N128),"")</f>
        <v/>
      </c>
      <c r="P128" s="4" t="n"/>
    </row>
    <row r="129">
      <c r="A129" s="12">
        <f>IF(B129=CONFIG!$G$5,A128+1,A128)</f>
        <v/>
      </c>
      <c r="B129" s="4">
        <f>IF(B128=CONFIG!$G$6,CONFIG!$G$5,CONFIG!$G$6)</f>
        <v/>
      </c>
      <c r="C129" s="4" t="n"/>
      <c r="D129" s="4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>
        <f>IF(SUM(E129:N129)&gt;0,SUM(E129:N129),"")</f>
        <v/>
      </c>
      <c r="P129" s="4" t="n"/>
    </row>
    <row r="130">
      <c r="A130" s="12">
        <f>IF(B130=CONFIG!$G$5,A129+1,A129)</f>
        <v/>
      </c>
      <c r="B130" s="4">
        <f>IF(B129=CONFIG!$G$6,CONFIG!$G$5,CONFIG!$G$6)</f>
        <v/>
      </c>
      <c r="C130" s="4" t="n"/>
      <c r="D130" s="4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>
        <f>IF(SUM(E130:N130)&gt;0,SUM(E130:N130),"")</f>
        <v/>
      </c>
      <c r="P130" s="4" t="n"/>
    </row>
    <row r="131">
      <c r="A131" s="12">
        <f>IF(B131=CONFIG!$G$5,A130+1,A130)</f>
        <v/>
      </c>
      <c r="B131" s="4">
        <f>IF(B130=CONFIG!$G$6,CONFIG!$G$5,CONFIG!$G$6)</f>
        <v/>
      </c>
      <c r="C131" s="4" t="n"/>
      <c r="D131" s="4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>
        <f>IF(SUM(E131:N131)&gt;0,SUM(E131:N131),"")</f>
        <v/>
      </c>
      <c r="P131" s="4" t="n"/>
    </row>
    <row r="132">
      <c r="A132" s="12">
        <f>IF(B132=CONFIG!$G$5,A131+1,A131)</f>
        <v/>
      </c>
      <c r="B132" s="4">
        <f>IF(B131=CONFIG!$G$6,CONFIG!$G$5,CONFIG!$G$6)</f>
        <v/>
      </c>
      <c r="C132" s="4" t="n"/>
      <c r="D132" s="4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>
        <f>IF(SUM(E132:N132)&gt;0,SUM(E132:N132),"")</f>
        <v/>
      </c>
      <c r="P132" s="4" t="n"/>
    </row>
    <row r="133">
      <c r="A133" s="12">
        <f>IF(B133=CONFIG!$G$5,A132+1,A132)</f>
        <v/>
      </c>
      <c r="B133" s="4">
        <f>IF(B132=CONFIG!$G$6,CONFIG!$G$5,CONFIG!$G$6)</f>
        <v/>
      </c>
      <c r="C133" s="4" t="n"/>
      <c r="D133" s="4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>
        <f>IF(SUM(E133:N133)&gt;0,SUM(E133:N133),"")</f>
        <v/>
      </c>
      <c r="P133" s="4" t="n"/>
    </row>
    <row r="134">
      <c r="A134" s="12">
        <f>IF(B134=CONFIG!$G$5,A133+1,A133)</f>
        <v/>
      </c>
      <c r="B134" s="4">
        <f>IF(B133=CONFIG!$G$6,CONFIG!$G$5,CONFIG!$G$6)</f>
        <v/>
      </c>
      <c r="C134" s="4" t="n"/>
      <c r="D134" s="4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>
        <f>IF(SUM(E134:N134)&gt;0,SUM(E134:N134),"")</f>
        <v/>
      </c>
      <c r="P134" s="4" t="n"/>
    </row>
    <row r="135">
      <c r="A135" s="12">
        <f>IF(B135=CONFIG!$G$5,A134+1,A134)</f>
        <v/>
      </c>
      <c r="B135" s="4">
        <f>IF(B134=CONFIG!$G$6,CONFIG!$G$5,CONFIG!$G$6)</f>
        <v/>
      </c>
      <c r="C135" s="4" t="n"/>
      <c r="D135" s="4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>
        <f>IF(SUM(E135:N135)&gt;0,SUM(E135:N135),"")</f>
        <v/>
      </c>
      <c r="P135" s="4" t="n"/>
    </row>
    <row r="136">
      <c r="A136" s="12">
        <f>IF(B136=CONFIG!$G$5,A135+1,A135)</f>
        <v/>
      </c>
      <c r="B136" s="4">
        <f>IF(B135=CONFIG!$G$6,CONFIG!$G$5,CONFIG!$G$6)</f>
        <v/>
      </c>
      <c r="C136" s="4" t="n"/>
      <c r="D136" s="4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>
        <f>IF(SUM(E136:N136)&gt;0,SUM(E136:N136),"")</f>
        <v/>
      </c>
      <c r="P136" s="4" t="n"/>
    </row>
    <row r="137">
      <c r="A137" s="12">
        <f>IF(B137=CONFIG!$G$5,A136+1,A136)</f>
        <v/>
      </c>
      <c r="B137" s="4">
        <f>IF(B136=CONFIG!$G$6,CONFIG!$G$5,CONFIG!$G$6)</f>
        <v/>
      </c>
      <c r="C137" s="4" t="n"/>
      <c r="D137" s="4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>
        <f>IF(SUM(E137:N137)&gt;0,SUM(E137:N137),"")</f>
        <v/>
      </c>
      <c r="P137" s="4" t="n"/>
    </row>
    <row r="138">
      <c r="A138" s="12">
        <f>IF(B138=CONFIG!$G$5,A137+1,A137)</f>
        <v/>
      </c>
      <c r="B138" s="4">
        <f>IF(B137=CONFIG!$G$6,CONFIG!$G$5,CONFIG!$G$6)</f>
        <v/>
      </c>
      <c r="C138" s="4" t="n"/>
      <c r="D138" s="4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>
        <f>IF(SUM(E138:N138)&gt;0,SUM(E138:N138),"")</f>
        <v/>
      </c>
      <c r="P138" s="4" t="n"/>
    </row>
    <row r="139">
      <c r="A139" s="12">
        <f>IF(B139=CONFIG!$G$5,A138+1,A138)</f>
        <v/>
      </c>
      <c r="B139" s="4">
        <f>IF(B138=CONFIG!$G$6,CONFIG!$G$5,CONFIG!$G$6)</f>
        <v/>
      </c>
      <c r="C139" s="4" t="n"/>
      <c r="D139" s="4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>
        <f>IF(SUM(E139:N139)&gt;0,SUM(E139:N139),"")</f>
        <v/>
      </c>
      <c r="P139" s="4" t="n"/>
    </row>
    <row r="140">
      <c r="A140" s="12">
        <f>IF(B140=CONFIG!$G$5,A139+1,A139)</f>
        <v/>
      </c>
      <c r="B140" s="4">
        <f>IF(B139=CONFIG!$G$6,CONFIG!$G$5,CONFIG!$G$6)</f>
        <v/>
      </c>
      <c r="C140" s="4" t="n"/>
      <c r="D140" s="4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>
        <f>IF(SUM(E140:N140)&gt;0,SUM(E140:N140),"")</f>
        <v/>
      </c>
      <c r="P140" s="4" t="n"/>
    </row>
    <row r="141">
      <c r="A141" s="12">
        <f>IF(B141=CONFIG!$G$5,A140+1,A140)</f>
        <v/>
      </c>
      <c r="B141" s="4">
        <f>IF(B140=CONFIG!$G$6,CONFIG!$G$5,CONFIG!$G$6)</f>
        <v/>
      </c>
      <c r="C141" s="4" t="n"/>
      <c r="D141" s="4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>
        <f>IF(SUM(E141:N141)&gt;0,SUM(E141:N141),"")</f>
        <v/>
      </c>
      <c r="P141" s="4" t="n"/>
    </row>
    <row r="142">
      <c r="A142" s="12">
        <f>IF(B142=CONFIG!$G$5,A141+1,A141)</f>
        <v/>
      </c>
      <c r="B142" s="4">
        <f>IF(B141=CONFIG!$G$6,CONFIG!$G$5,CONFIG!$G$6)</f>
        <v/>
      </c>
      <c r="C142" s="4" t="n"/>
      <c r="D142" s="4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>
        <f>IF(SUM(E142:N142)&gt;0,SUM(E142:N142),"")</f>
        <v/>
      </c>
      <c r="P142" s="4" t="n"/>
    </row>
    <row r="143">
      <c r="A143" s="12">
        <f>IF(B143=CONFIG!$G$5,A142+1,A142)</f>
        <v/>
      </c>
      <c r="B143" s="4">
        <f>IF(B142=CONFIG!$G$6,CONFIG!$G$5,CONFIG!$G$6)</f>
        <v/>
      </c>
      <c r="C143" s="4" t="n"/>
      <c r="D143" s="4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>
        <f>IF(SUM(E143:N143)&gt;0,SUM(E143:N143),"")</f>
        <v/>
      </c>
      <c r="P143" s="4" t="n"/>
    </row>
    <row r="144">
      <c r="A144" s="12">
        <f>IF(B144=CONFIG!$G$5,A143+1,A143)</f>
        <v/>
      </c>
      <c r="B144" s="4">
        <f>IF(B143=CONFIG!$G$6,CONFIG!$G$5,CONFIG!$G$6)</f>
        <v/>
      </c>
      <c r="C144" s="4" t="n"/>
      <c r="D144" s="4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>
        <f>IF(SUM(E144:N144)&gt;0,SUM(E144:N144),"")</f>
        <v/>
      </c>
      <c r="P144" s="4" t="n"/>
    </row>
    <row r="145">
      <c r="A145" s="12">
        <f>IF(B145=CONFIG!$G$5,A144+1,A144)</f>
        <v/>
      </c>
      <c r="B145" s="4">
        <f>IF(B144=CONFIG!$G$6,CONFIG!$G$5,CONFIG!$G$6)</f>
        <v/>
      </c>
      <c r="C145" s="4" t="n"/>
      <c r="D145" s="4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>
        <f>IF(SUM(E145:N145)&gt;0,SUM(E145:N145),"")</f>
        <v/>
      </c>
      <c r="P145" s="4" t="n"/>
    </row>
    <row r="146">
      <c r="A146" s="12">
        <f>IF(B146=CONFIG!$G$5,A145+1,A145)</f>
        <v/>
      </c>
      <c r="B146" s="4">
        <f>IF(B145=CONFIG!$G$6,CONFIG!$G$5,CONFIG!$G$6)</f>
        <v/>
      </c>
      <c r="C146" s="4" t="n"/>
      <c r="D146" s="4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>
        <f>IF(SUM(E146:N146)&gt;0,SUM(E146:N146),"")</f>
        <v/>
      </c>
      <c r="P146" s="4" t="n"/>
    </row>
    <row r="147">
      <c r="A147" s="12">
        <f>IF(B147=CONFIG!$G$5,A146+1,A146)</f>
        <v/>
      </c>
      <c r="B147" s="4">
        <f>IF(B146=CONFIG!$G$6,CONFIG!$G$5,CONFIG!$G$6)</f>
        <v/>
      </c>
      <c r="C147" s="4" t="n"/>
      <c r="D147" s="4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>
        <f>IF(SUM(E147:N147)&gt;0,SUM(E147:N147),"")</f>
        <v/>
      </c>
      <c r="P147" s="4" t="n"/>
    </row>
    <row r="148">
      <c r="A148" s="12">
        <f>IF(B148=CONFIG!$G$5,A147+1,A147)</f>
        <v/>
      </c>
      <c r="B148" s="4">
        <f>IF(B147=CONFIG!$G$6,CONFIG!$G$5,CONFIG!$G$6)</f>
        <v/>
      </c>
      <c r="C148" s="4" t="n"/>
      <c r="D148" s="4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>
        <f>IF(SUM(E148:N148)&gt;0,SUM(E148:N148),"")</f>
        <v/>
      </c>
      <c r="P148" s="4" t="n"/>
    </row>
    <row r="149">
      <c r="A149" s="12">
        <f>IF(B149=CONFIG!$G$5,A148+1,A148)</f>
        <v/>
      </c>
      <c r="B149" s="4">
        <f>IF(B148=CONFIG!$G$6,CONFIG!$G$5,CONFIG!$G$6)</f>
        <v/>
      </c>
      <c r="C149" s="4" t="n"/>
      <c r="D149" s="4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>
        <f>IF(SUM(E149:N149)&gt;0,SUM(E149:N149),"")</f>
        <v/>
      </c>
      <c r="P149" s="4" t="n"/>
    </row>
    <row r="150">
      <c r="A150" s="12">
        <f>IF(B150=CONFIG!$G$5,A149+1,A149)</f>
        <v/>
      </c>
      <c r="B150" s="4">
        <f>IF(B149=CONFIG!$G$6,CONFIG!$G$5,CONFIG!$G$6)</f>
        <v/>
      </c>
      <c r="C150" s="4" t="n"/>
      <c r="D150" s="4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>
        <f>IF(SUM(E150:N150)&gt;0,SUM(E150:N150),"")</f>
        <v/>
      </c>
      <c r="P150" s="4" t="n"/>
    </row>
    <row r="151">
      <c r="A151" s="12">
        <f>IF(B151=CONFIG!$G$5,A150+1,A150)</f>
        <v/>
      </c>
      <c r="B151" s="4">
        <f>IF(B150=CONFIG!$G$6,CONFIG!$G$5,CONFIG!$G$6)</f>
        <v/>
      </c>
      <c r="C151" s="4" t="n"/>
      <c r="D151" s="4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>
        <f>IF(SUM(E151:N151)&gt;0,SUM(E151:N151),"")</f>
        <v/>
      </c>
      <c r="P151" s="4" t="n"/>
    </row>
    <row r="152">
      <c r="A152" s="12">
        <f>IF(B152=CONFIG!$G$5,A151+1,A151)</f>
        <v/>
      </c>
      <c r="B152" s="4">
        <f>IF(B151=CONFIG!$G$6,CONFIG!$G$5,CONFIG!$G$6)</f>
        <v/>
      </c>
      <c r="C152" s="4" t="n"/>
      <c r="D152" s="4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>
        <f>IF(SUM(E152:N152)&gt;0,SUM(E152:N152),"")</f>
        <v/>
      </c>
      <c r="P152" s="4" t="n"/>
    </row>
    <row r="153">
      <c r="A153" s="12">
        <f>IF(B153=CONFIG!$G$5,A152+1,A152)</f>
        <v/>
      </c>
      <c r="B153" s="4">
        <f>IF(B152=CONFIG!$G$6,CONFIG!$G$5,CONFIG!$G$6)</f>
        <v/>
      </c>
      <c r="C153" s="4" t="n"/>
      <c r="D153" s="4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>
        <f>IF(SUM(E153:N153)&gt;0,SUM(E153:N153),"")</f>
        <v/>
      </c>
      <c r="P153" s="4" t="n"/>
    </row>
    <row r="154">
      <c r="A154" s="12">
        <f>IF(B154=CONFIG!$G$5,A153+1,A153)</f>
        <v/>
      </c>
      <c r="B154" s="4">
        <f>IF(B153=CONFIG!$G$6,CONFIG!$G$5,CONFIG!$G$6)</f>
        <v/>
      </c>
      <c r="C154" s="4" t="n"/>
      <c r="D154" s="4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>
        <f>IF(SUM(E154:N154)&gt;0,SUM(E154:N154),"")</f>
        <v/>
      </c>
      <c r="P154" s="4" t="n"/>
    </row>
    <row r="155">
      <c r="A155" s="12">
        <f>IF(B155=CONFIG!$G$5,A154+1,A154)</f>
        <v/>
      </c>
      <c r="B155" s="4">
        <f>IF(B154=CONFIG!$G$6,CONFIG!$G$5,CONFIG!$G$6)</f>
        <v/>
      </c>
      <c r="C155" s="4" t="n"/>
      <c r="D155" s="4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>
        <f>IF(SUM(E155:N155)&gt;0,SUM(E155:N155),"")</f>
        <v/>
      </c>
      <c r="P155" s="4" t="n"/>
    </row>
    <row r="156">
      <c r="A156" s="12">
        <f>IF(B156=CONFIG!$G$5,A155+1,A155)</f>
        <v/>
      </c>
      <c r="B156" s="4">
        <f>IF(B155=CONFIG!$G$6,CONFIG!$G$5,CONFIG!$G$6)</f>
        <v/>
      </c>
      <c r="C156" s="4" t="n"/>
      <c r="D156" s="4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>
        <f>IF(SUM(E156:N156)&gt;0,SUM(E156:N156),"")</f>
        <v/>
      </c>
      <c r="P156" s="4" t="n"/>
    </row>
    <row r="157">
      <c r="A157" s="12">
        <f>IF(B157=CONFIG!$G$5,A156+1,A156)</f>
        <v/>
      </c>
      <c r="B157" s="4">
        <f>IF(B156=CONFIG!$G$6,CONFIG!$G$5,CONFIG!$G$6)</f>
        <v/>
      </c>
      <c r="C157" s="4" t="n"/>
      <c r="D157" s="4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>
        <f>IF(SUM(E157:N157)&gt;0,SUM(E157:N157),"")</f>
        <v/>
      </c>
      <c r="P157" s="4" t="n"/>
    </row>
    <row r="158">
      <c r="A158" s="12">
        <f>IF(B158=CONFIG!$G$5,A157+1,A157)</f>
        <v/>
      </c>
      <c r="B158" s="4">
        <f>IF(B157=CONFIG!$G$6,CONFIG!$G$5,CONFIG!$G$6)</f>
        <v/>
      </c>
      <c r="C158" s="4" t="n"/>
      <c r="D158" s="4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>
        <f>IF(SUM(E158:N158)&gt;0,SUM(E158:N158),"")</f>
        <v/>
      </c>
      <c r="P158" s="4" t="n"/>
    </row>
    <row r="159">
      <c r="A159" s="12">
        <f>IF(B159=CONFIG!$G$5,A158+1,A158)</f>
        <v/>
      </c>
      <c r="B159" s="4">
        <f>IF(B158=CONFIG!$G$6,CONFIG!$G$5,CONFIG!$G$6)</f>
        <v/>
      </c>
      <c r="C159" s="4" t="n"/>
      <c r="D159" s="4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>
        <f>IF(SUM(E159:N159)&gt;0,SUM(E159:N159),"")</f>
        <v/>
      </c>
      <c r="P159" s="4" t="n"/>
    </row>
    <row r="160">
      <c r="A160" s="12">
        <f>IF(B160=CONFIG!$G$5,A159+1,A159)</f>
        <v/>
      </c>
      <c r="B160" s="4">
        <f>IF(B159=CONFIG!$G$6,CONFIG!$G$5,CONFIG!$G$6)</f>
        <v/>
      </c>
      <c r="C160" s="4" t="n"/>
      <c r="D160" s="4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>
        <f>IF(SUM(E160:N160)&gt;0,SUM(E160:N160),"")</f>
        <v/>
      </c>
      <c r="P160" s="4" t="n"/>
    </row>
    <row r="161">
      <c r="A161" s="12">
        <f>IF(B161=CONFIG!$G$5,A160+1,A160)</f>
        <v/>
      </c>
      <c r="B161" s="4">
        <f>IF(B160=CONFIG!$G$6,CONFIG!$G$5,CONFIG!$G$6)</f>
        <v/>
      </c>
      <c r="C161" s="4" t="n"/>
      <c r="D161" s="4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>
        <f>IF(SUM(E161:N161)&gt;0,SUM(E161:N161),"")</f>
        <v/>
      </c>
      <c r="P161" s="4" t="n"/>
    </row>
    <row r="162">
      <c r="A162" s="12">
        <f>IF(B162=CONFIG!$G$5,A161+1,A161)</f>
        <v/>
      </c>
      <c r="B162" s="4">
        <f>IF(B161=CONFIG!$G$6,CONFIG!$G$5,CONFIG!$G$6)</f>
        <v/>
      </c>
      <c r="C162" s="4" t="n"/>
      <c r="D162" s="4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>
        <f>IF(SUM(E162:N162)&gt;0,SUM(E162:N162),"")</f>
        <v/>
      </c>
      <c r="P162" s="4" t="n"/>
    </row>
    <row r="163">
      <c r="A163" s="12">
        <f>IF(B163=CONFIG!$G$5,A162+1,A162)</f>
        <v/>
      </c>
      <c r="B163" s="4">
        <f>IF(B162=CONFIG!$G$6,CONFIG!$G$5,CONFIG!$G$6)</f>
        <v/>
      </c>
      <c r="C163" s="4" t="n"/>
      <c r="D163" s="4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>
        <f>IF(SUM(E163:N163)&gt;0,SUM(E163:N163),"")</f>
        <v/>
      </c>
      <c r="P163" s="4" t="n"/>
    </row>
    <row r="164">
      <c r="A164" s="12">
        <f>IF(B164=CONFIG!$G$5,A163+1,A163)</f>
        <v/>
      </c>
      <c r="B164" s="4">
        <f>IF(B163=CONFIG!$G$6,CONFIG!$G$5,CONFIG!$G$6)</f>
        <v/>
      </c>
      <c r="C164" s="4" t="n"/>
      <c r="D164" s="4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>
        <f>IF(SUM(E164:N164)&gt;0,SUM(E164:N164),"")</f>
        <v/>
      </c>
      <c r="P164" s="4" t="n"/>
    </row>
    <row r="165">
      <c r="A165" s="12">
        <f>IF(B165=CONFIG!$G$5,A164+1,A164)</f>
        <v/>
      </c>
      <c r="B165" s="4">
        <f>IF(B164=CONFIG!$G$6,CONFIG!$G$5,CONFIG!$G$6)</f>
        <v/>
      </c>
      <c r="C165" s="4" t="n"/>
      <c r="D165" s="4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>
        <f>IF(SUM(E165:N165)&gt;0,SUM(E165:N165),"")</f>
        <v/>
      </c>
      <c r="P165" s="4" t="n"/>
    </row>
    <row r="166">
      <c r="A166" s="12">
        <f>IF(B166=CONFIG!$G$5,A165+1,A165)</f>
        <v/>
      </c>
      <c r="B166" s="4">
        <f>IF(B165=CONFIG!$G$6,CONFIG!$G$5,CONFIG!$G$6)</f>
        <v/>
      </c>
      <c r="C166" s="4" t="n"/>
      <c r="D166" s="4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>
        <f>IF(SUM(E166:N166)&gt;0,SUM(E166:N166),"")</f>
        <v/>
      </c>
      <c r="P166" s="4" t="n"/>
    </row>
    <row r="167">
      <c r="A167" s="12">
        <f>IF(B167=CONFIG!$G$5,A166+1,A166)</f>
        <v/>
      </c>
      <c r="B167" s="4">
        <f>IF(B166=CONFIG!$G$6,CONFIG!$G$5,CONFIG!$G$6)</f>
        <v/>
      </c>
      <c r="C167" s="4" t="n"/>
      <c r="D167" s="4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>
        <f>IF(SUM(E167:N167)&gt;0,SUM(E167:N167),"")</f>
        <v/>
      </c>
      <c r="P167" s="4" t="n"/>
    </row>
    <row r="168">
      <c r="A168" s="12">
        <f>IF(B168=CONFIG!$G$5,A167+1,A167)</f>
        <v/>
      </c>
      <c r="B168" s="4">
        <f>IF(B167=CONFIG!$G$6,CONFIG!$G$5,CONFIG!$G$6)</f>
        <v/>
      </c>
      <c r="C168" s="4" t="n"/>
      <c r="D168" s="4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>
        <f>IF(SUM(E168:N168)&gt;0,SUM(E168:N168),"")</f>
        <v/>
      </c>
      <c r="P168" s="4" t="n"/>
    </row>
    <row r="169">
      <c r="A169" s="12">
        <f>IF(B169=CONFIG!$G$5,A168+1,A168)</f>
        <v/>
      </c>
      <c r="B169" s="4">
        <f>IF(B168=CONFIG!$G$6,CONFIG!$G$5,CONFIG!$G$6)</f>
        <v/>
      </c>
      <c r="C169" s="4" t="n"/>
      <c r="D169" s="4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>
        <f>IF(SUM(E169:N169)&gt;0,SUM(E169:N169),"")</f>
        <v/>
      </c>
      <c r="P169" s="4" t="n"/>
    </row>
    <row r="170">
      <c r="A170" s="12">
        <f>IF(B170=CONFIG!$G$5,A169+1,A169)</f>
        <v/>
      </c>
      <c r="B170" s="4">
        <f>IF(B169=CONFIG!$G$6,CONFIG!$G$5,CONFIG!$G$6)</f>
        <v/>
      </c>
      <c r="C170" s="4" t="n"/>
      <c r="D170" s="4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>
        <f>IF(SUM(E170:N170)&gt;0,SUM(E170:N170),"")</f>
        <v/>
      </c>
      <c r="P170" s="4" t="n"/>
    </row>
    <row r="171">
      <c r="A171" s="12">
        <f>IF(B171=CONFIG!$G$5,A170+1,A170)</f>
        <v/>
      </c>
      <c r="B171" s="4">
        <f>IF(B170=CONFIG!$G$6,CONFIG!$G$5,CONFIG!$G$6)</f>
        <v/>
      </c>
      <c r="C171" s="4" t="n"/>
      <c r="D171" s="4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>
        <f>IF(SUM(E171:N171)&gt;0,SUM(E171:N171),"")</f>
        <v/>
      </c>
      <c r="P171" s="4" t="n"/>
    </row>
    <row r="172">
      <c r="A172" s="12">
        <f>IF(B172=CONFIG!$G$5,A171+1,A171)</f>
        <v/>
      </c>
      <c r="B172" s="4">
        <f>IF(B171=CONFIG!$G$6,CONFIG!$G$5,CONFIG!$G$6)</f>
        <v/>
      </c>
      <c r="C172" s="4" t="n"/>
      <c r="D172" s="4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>
        <f>IF(SUM(E172:N172)&gt;0,SUM(E172:N172),"")</f>
        <v/>
      </c>
      <c r="P172" s="4" t="n"/>
    </row>
    <row r="173">
      <c r="A173" s="12">
        <f>IF(B173=CONFIG!$G$5,A172+1,A172)</f>
        <v/>
      </c>
      <c r="B173" s="4">
        <f>IF(B172=CONFIG!$G$6,CONFIG!$G$5,CONFIG!$G$6)</f>
        <v/>
      </c>
      <c r="C173" s="4" t="n"/>
      <c r="D173" s="4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>
        <f>IF(SUM(E173:N173)&gt;0,SUM(E173:N173),"")</f>
        <v/>
      </c>
      <c r="P173" s="4" t="n"/>
    </row>
    <row r="174">
      <c r="A174" s="12">
        <f>IF(B174=CONFIG!$G$5,A173+1,A173)</f>
        <v/>
      </c>
      <c r="B174" s="4">
        <f>IF(B173=CONFIG!$G$6,CONFIG!$G$5,CONFIG!$G$6)</f>
        <v/>
      </c>
      <c r="C174" s="4" t="n"/>
      <c r="D174" s="4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>
        <f>IF(SUM(E174:N174)&gt;0,SUM(E174:N174),"")</f>
        <v/>
      </c>
      <c r="P174" s="4" t="n"/>
    </row>
    <row r="175">
      <c r="A175" s="12">
        <f>IF(B175=CONFIG!$G$5,A174+1,A174)</f>
        <v/>
      </c>
      <c r="B175" s="4">
        <f>IF(B174=CONFIG!$G$6,CONFIG!$G$5,CONFIG!$G$6)</f>
        <v/>
      </c>
      <c r="C175" s="4" t="n"/>
      <c r="D175" s="4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>
        <f>IF(SUM(E175:N175)&gt;0,SUM(E175:N175),"")</f>
        <v/>
      </c>
      <c r="P175" s="4" t="n"/>
    </row>
    <row r="176">
      <c r="A176" s="12">
        <f>IF(B176=CONFIG!$G$5,A175+1,A175)</f>
        <v/>
      </c>
      <c r="B176" s="4">
        <f>IF(B175=CONFIG!$G$6,CONFIG!$G$5,CONFIG!$G$6)</f>
        <v/>
      </c>
      <c r="C176" s="4" t="n"/>
      <c r="D176" s="4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>
        <f>IF(SUM(E176:N176)&gt;0,SUM(E176:N176),"")</f>
        <v/>
      </c>
      <c r="P176" s="4" t="n"/>
    </row>
    <row r="177">
      <c r="A177" s="12">
        <f>IF(B177=CONFIG!$G$5,A176+1,A176)</f>
        <v/>
      </c>
      <c r="B177" s="4">
        <f>IF(B176=CONFIG!$G$6,CONFIG!$G$5,CONFIG!$G$6)</f>
        <v/>
      </c>
      <c r="C177" s="4" t="n"/>
      <c r="D177" s="4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>
        <f>IF(SUM(E177:N177)&gt;0,SUM(E177:N177),"")</f>
        <v/>
      </c>
      <c r="P177" s="4" t="n"/>
    </row>
    <row r="178">
      <c r="A178" s="12">
        <f>IF(B178=CONFIG!$G$5,A177+1,A177)</f>
        <v/>
      </c>
      <c r="B178" s="4">
        <f>IF(B177=CONFIG!$G$6,CONFIG!$G$5,CONFIG!$G$6)</f>
        <v/>
      </c>
      <c r="C178" s="4" t="n"/>
      <c r="D178" s="4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>
        <f>IF(SUM(E178:N178)&gt;0,SUM(E178:N178),"")</f>
        <v/>
      </c>
      <c r="P178" s="4" t="n"/>
    </row>
    <row r="179">
      <c r="A179" s="12">
        <f>IF(B179=CONFIG!$G$5,A178+1,A178)</f>
        <v/>
      </c>
      <c r="B179" s="4">
        <f>IF(B178=CONFIG!$G$6,CONFIG!$G$5,CONFIG!$G$6)</f>
        <v/>
      </c>
      <c r="C179" s="4" t="n"/>
      <c r="D179" s="4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>
        <f>IF(SUM(E179:N179)&gt;0,SUM(E179:N179),"")</f>
        <v/>
      </c>
      <c r="P179" s="4" t="n"/>
    </row>
    <row r="180">
      <c r="A180" s="12">
        <f>IF(B180=CONFIG!$G$5,A179+1,A179)</f>
        <v/>
      </c>
      <c r="B180" s="4">
        <f>IF(B179=CONFIG!$G$6,CONFIG!$G$5,CONFIG!$G$6)</f>
        <v/>
      </c>
      <c r="C180" s="4" t="n"/>
      <c r="D180" s="4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>
        <f>IF(SUM(E180:N180)&gt;0,SUM(E180:N180),"")</f>
        <v/>
      </c>
      <c r="P180" s="4" t="n"/>
    </row>
    <row r="181">
      <c r="A181" s="12">
        <f>IF(B181=CONFIG!$G$5,A180+1,A180)</f>
        <v/>
      </c>
      <c r="B181" s="4">
        <f>IF(B180=CONFIG!$G$6,CONFIG!$G$5,CONFIG!$G$6)</f>
        <v/>
      </c>
      <c r="C181" s="4" t="n"/>
      <c r="D181" s="4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>
        <f>IF(SUM(E181:N181)&gt;0,SUM(E181:N181),"")</f>
        <v/>
      </c>
      <c r="P181" s="4" t="n"/>
    </row>
    <row r="182">
      <c r="A182" s="12">
        <f>IF(B182=CONFIG!$G$5,A181+1,A181)</f>
        <v/>
      </c>
      <c r="B182" s="4">
        <f>IF(B181=CONFIG!$G$6,CONFIG!$G$5,CONFIG!$G$6)</f>
        <v/>
      </c>
      <c r="C182" s="4" t="n"/>
      <c r="D182" s="4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>
        <f>IF(SUM(E182:N182)&gt;0,SUM(E182:N182),"")</f>
        <v/>
      </c>
      <c r="P182" s="4" t="n"/>
    </row>
    <row r="183">
      <c r="A183" s="12">
        <f>IF(B183=CONFIG!$G$5,A182+1,A182)</f>
        <v/>
      </c>
      <c r="B183" s="4">
        <f>IF(B182=CONFIG!$G$6,CONFIG!$G$5,CONFIG!$G$6)</f>
        <v/>
      </c>
      <c r="C183" s="4" t="n"/>
      <c r="D183" s="4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>
        <f>IF(SUM(E183:N183)&gt;0,SUM(E183:N183),"")</f>
        <v/>
      </c>
      <c r="P183" s="4" t="n"/>
    </row>
    <row r="184">
      <c r="A184" s="12">
        <f>IF(B184=CONFIG!$G$5,A183+1,A183)</f>
        <v/>
      </c>
      <c r="B184" s="4">
        <f>IF(B183=CONFIG!$G$6,CONFIG!$G$5,CONFIG!$G$6)</f>
        <v/>
      </c>
      <c r="C184" s="4" t="n"/>
      <c r="D184" s="4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>
        <f>IF(SUM(E184:N184)&gt;0,SUM(E184:N184),"")</f>
        <v/>
      </c>
      <c r="P184" s="4" t="n"/>
    </row>
    <row r="185">
      <c r="A185" s="12">
        <f>IF(B185=CONFIG!$G$5,A184+1,A184)</f>
        <v/>
      </c>
      <c r="B185" s="4">
        <f>IF(B184=CONFIG!$G$6,CONFIG!$G$5,CONFIG!$G$6)</f>
        <v/>
      </c>
      <c r="C185" s="4" t="n"/>
      <c r="D185" s="4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>
        <f>IF(SUM(E185:N185)&gt;0,SUM(E185:N185),"")</f>
        <v/>
      </c>
      <c r="P185" s="4" t="n"/>
    </row>
    <row r="186">
      <c r="A186" s="12">
        <f>IF(B186=CONFIG!$G$5,A185+1,A185)</f>
        <v/>
      </c>
      <c r="B186" s="4">
        <f>IF(B185=CONFIG!$G$6,CONFIG!$G$5,CONFIG!$G$6)</f>
        <v/>
      </c>
      <c r="C186" s="4" t="n"/>
      <c r="D186" s="4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>
        <f>IF(SUM(E186:N186)&gt;0,SUM(E186:N186),"")</f>
        <v/>
      </c>
      <c r="P186" s="4" t="n"/>
    </row>
    <row r="187">
      <c r="A187" s="12">
        <f>IF(B187=CONFIG!$G$5,A186+1,A186)</f>
        <v/>
      </c>
      <c r="B187" s="4">
        <f>IF(B186=CONFIG!$G$6,CONFIG!$G$5,CONFIG!$G$6)</f>
        <v/>
      </c>
      <c r="C187" s="4" t="n"/>
      <c r="D187" s="4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>
        <f>IF(SUM(E187:N187)&gt;0,SUM(E187:N187),"")</f>
        <v/>
      </c>
      <c r="P187" s="4" t="n"/>
    </row>
    <row r="188">
      <c r="A188" s="12">
        <f>IF(B188=CONFIG!$G$5,A187+1,A187)</f>
        <v/>
      </c>
      <c r="B188" s="4">
        <f>IF(B187=CONFIG!$G$6,CONFIG!$G$5,CONFIG!$G$6)</f>
        <v/>
      </c>
      <c r="C188" s="4" t="n"/>
      <c r="D188" s="4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>
        <f>IF(SUM(E188:N188)&gt;0,SUM(E188:N188),"")</f>
        <v/>
      </c>
      <c r="P188" s="4" t="n"/>
    </row>
    <row r="189">
      <c r="A189" s="12">
        <f>IF(B189=CONFIG!$G$5,A188+1,A188)</f>
        <v/>
      </c>
      <c r="B189" s="4">
        <f>IF(B188=CONFIG!$G$6,CONFIG!$G$5,CONFIG!$G$6)</f>
        <v/>
      </c>
      <c r="C189" s="4" t="n"/>
      <c r="D189" s="4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>
        <f>IF(SUM(E189:N189)&gt;0,SUM(E189:N189),"")</f>
        <v/>
      </c>
      <c r="P189" s="4" t="n"/>
    </row>
    <row r="190">
      <c r="A190" s="12">
        <f>IF(B190=CONFIG!$G$5,A189+1,A189)</f>
        <v/>
      </c>
      <c r="B190" s="4">
        <f>IF(B189=CONFIG!$G$6,CONFIG!$G$5,CONFIG!$G$6)</f>
        <v/>
      </c>
      <c r="C190" s="4" t="n"/>
      <c r="D190" s="4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>
        <f>IF(SUM(E190:N190)&gt;0,SUM(E190:N190),"")</f>
        <v/>
      </c>
      <c r="P190" s="4" t="n"/>
    </row>
    <row r="191">
      <c r="A191" s="12">
        <f>IF(B191=CONFIG!$G$5,A190+1,A190)</f>
        <v/>
      </c>
      <c r="B191" s="4">
        <f>IF(B190=CONFIG!$G$6,CONFIG!$G$5,CONFIG!$G$6)</f>
        <v/>
      </c>
      <c r="C191" s="4" t="n"/>
      <c r="D191" s="4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>
        <f>IF(SUM(E191:N191)&gt;0,SUM(E191:N191),"")</f>
        <v/>
      </c>
      <c r="P191" s="4" t="n"/>
    </row>
    <row r="192">
      <c r="A192" s="12">
        <f>IF(B192=CONFIG!$G$5,A191+1,A191)</f>
        <v/>
      </c>
      <c r="B192" s="4">
        <f>IF(B191=CONFIG!$G$6,CONFIG!$G$5,CONFIG!$G$6)</f>
        <v/>
      </c>
      <c r="C192" s="4" t="n"/>
      <c r="D192" s="4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>
        <f>IF(SUM(E192:N192)&gt;0,SUM(E192:N192),"")</f>
        <v/>
      </c>
      <c r="P192" s="4" t="n"/>
    </row>
    <row r="193">
      <c r="A193" s="12">
        <f>IF(B193=CONFIG!$G$5,A192+1,A192)</f>
        <v/>
      </c>
      <c r="B193" s="4">
        <f>IF(B192=CONFIG!$G$6,CONFIG!$G$5,CONFIG!$G$6)</f>
        <v/>
      </c>
      <c r="C193" s="4" t="n"/>
      <c r="D193" s="4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>
        <f>IF(SUM(E193:N193)&gt;0,SUM(E193:N193),"")</f>
        <v/>
      </c>
      <c r="P193" s="4" t="n"/>
    </row>
    <row r="194">
      <c r="A194" s="12">
        <f>IF(B194=CONFIG!$G$5,A193+1,A193)</f>
        <v/>
      </c>
      <c r="B194" s="4">
        <f>IF(B193=CONFIG!$G$6,CONFIG!$G$5,CONFIG!$G$6)</f>
        <v/>
      </c>
      <c r="C194" s="4" t="n"/>
      <c r="D194" s="4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>
        <f>IF(SUM(E194:N194)&gt;0,SUM(E194:N194),"")</f>
        <v/>
      </c>
      <c r="P194" s="4" t="n"/>
    </row>
    <row r="195">
      <c r="A195" s="12">
        <f>IF(B195=CONFIG!$G$5,A194+1,A194)</f>
        <v/>
      </c>
      <c r="B195" s="4">
        <f>IF(B194=CONFIG!$G$6,CONFIG!$G$5,CONFIG!$G$6)</f>
        <v/>
      </c>
      <c r="C195" s="4" t="n"/>
      <c r="D195" s="4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>
        <f>IF(SUM(E195:N195)&gt;0,SUM(E195:N195),"")</f>
        <v/>
      </c>
      <c r="P195" s="4" t="n"/>
    </row>
    <row r="196">
      <c r="A196" s="12">
        <f>IF(B196=CONFIG!$G$5,A195+1,A195)</f>
        <v/>
      </c>
      <c r="B196" s="4">
        <f>IF(B195=CONFIG!$G$6,CONFIG!$G$5,CONFIG!$G$6)</f>
        <v/>
      </c>
      <c r="C196" s="4" t="n"/>
      <c r="D196" s="4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>
        <f>IF(SUM(E196:N196)&gt;0,SUM(E196:N196),"")</f>
        <v/>
      </c>
      <c r="P196" s="4" t="n"/>
    </row>
    <row r="197">
      <c r="A197" s="12">
        <f>IF(B197=CONFIG!$G$5,A196+1,A196)</f>
        <v/>
      </c>
      <c r="B197" s="4">
        <f>IF(B196=CONFIG!$G$6,CONFIG!$G$5,CONFIG!$G$6)</f>
        <v/>
      </c>
      <c r="C197" s="4" t="n"/>
      <c r="D197" s="4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>
        <f>IF(SUM(E197:N197)&gt;0,SUM(E197:N197),"")</f>
        <v/>
      </c>
      <c r="P197" s="4" t="n"/>
    </row>
    <row r="198">
      <c r="A198" s="12">
        <f>IF(B198=CONFIG!$G$5,A197+1,A197)</f>
        <v/>
      </c>
      <c r="B198" s="4">
        <f>IF(B197=CONFIG!$G$6,CONFIG!$G$5,CONFIG!$G$6)</f>
        <v/>
      </c>
      <c r="C198" s="4" t="n"/>
      <c r="D198" s="4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>
        <f>IF(SUM(E198:N198)&gt;0,SUM(E198:N198),"")</f>
        <v/>
      </c>
      <c r="P198" s="4" t="n"/>
    </row>
    <row r="199">
      <c r="A199" s="12">
        <f>IF(B199=CONFIG!$G$5,A198+1,A198)</f>
        <v/>
      </c>
      <c r="B199" s="4">
        <f>IF(B198=CONFIG!$G$6,CONFIG!$G$5,CONFIG!$G$6)</f>
        <v/>
      </c>
      <c r="C199" s="4" t="n"/>
      <c r="D199" s="4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>
        <f>IF(SUM(E199:N199)&gt;0,SUM(E199:N199),"")</f>
        <v/>
      </c>
      <c r="P199" s="4" t="n"/>
    </row>
    <row r="200">
      <c r="A200" s="12">
        <f>IF(B200=CONFIG!$G$5,A199+1,A199)</f>
        <v/>
      </c>
      <c r="B200" s="4">
        <f>IF(B199=CONFIG!$G$6,CONFIG!$G$5,CONFIG!$G$6)</f>
        <v/>
      </c>
      <c r="C200" s="4" t="n"/>
      <c r="D200" s="4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>
        <f>IF(SUM(E200:N200)&gt;0,SUM(E200:N200),"")</f>
        <v/>
      </c>
      <c r="P200" s="4" t="n"/>
    </row>
    <row r="201">
      <c r="A201" s="12">
        <f>IF(B201=CONFIG!$G$5,A200+1,A200)</f>
        <v/>
      </c>
      <c r="B201" s="4">
        <f>IF(B200=CONFIG!$G$6,CONFIG!$G$5,CONFIG!$G$6)</f>
        <v/>
      </c>
      <c r="C201" s="4" t="n"/>
      <c r="D201" s="4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>
        <f>IF(SUM(E201:N201)&gt;0,SUM(E201:N201),"")</f>
        <v/>
      </c>
      <c r="P201" s="4" t="n"/>
    </row>
    <row r="202">
      <c r="A202" s="12">
        <f>IF(B202=CONFIG!$G$5,A201+1,A201)</f>
        <v/>
      </c>
      <c r="B202" s="4">
        <f>IF(B201=CONFIG!$G$6,CONFIG!$G$5,CONFIG!$G$6)</f>
        <v/>
      </c>
      <c r="C202" s="4" t="n"/>
      <c r="D202" s="4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>
        <f>IF(SUM(E202:N202)&gt;0,SUM(E202:N202),"")</f>
        <v/>
      </c>
      <c r="P202" s="4" t="n"/>
    </row>
    <row r="203">
      <c r="A203" s="12">
        <f>IF(B203=CONFIG!$G$5,A202+1,A202)</f>
        <v/>
      </c>
      <c r="B203" s="4">
        <f>IF(B202=CONFIG!$G$6,CONFIG!$G$5,CONFIG!$G$6)</f>
        <v/>
      </c>
      <c r="C203" s="4" t="n"/>
      <c r="D203" s="4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>
        <f>IF(SUM(E203:N203)&gt;0,SUM(E203:N203),"")</f>
        <v/>
      </c>
      <c r="P203" s="4" t="n"/>
    </row>
    <row r="204">
      <c r="A204" s="12">
        <f>IF(B204=CONFIG!$G$5,A203+1,A203)</f>
        <v/>
      </c>
      <c r="B204" s="4">
        <f>IF(B203=CONFIG!$G$6,CONFIG!$G$5,CONFIG!$G$6)</f>
        <v/>
      </c>
      <c r="C204" s="4" t="n"/>
      <c r="D204" s="4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>
        <f>IF(SUM(E204:N204)&gt;0,SUM(E204:N204),"")</f>
        <v/>
      </c>
      <c r="P204" s="4" t="n"/>
    </row>
    <row r="205">
      <c r="A205" s="12">
        <f>IF(B205=CONFIG!$G$5,A204+1,A204)</f>
        <v/>
      </c>
      <c r="B205" s="4">
        <f>IF(B204=CONFIG!$G$6,CONFIG!$G$5,CONFIG!$G$6)</f>
        <v/>
      </c>
      <c r="C205" s="4" t="n"/>
      <c r="D205" s="4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>
        <f>IF(SUM(E205:N205)&gt;0,SUM(E205:N205),"")</f>
        <v/>
      </c>
      <c r="P205" s="4" t="n"/>
    </row>
    <row r="206">
      <c r="A206" s="12">
        <f>IF(B206=CONFIG!$G$5,A205+1,A205)</f>
        <v/>
      </c>
      <c r="B206" s="4">
        <f>IF(B205=CONFIG!$G$6,CONFIG!$G$5,CONFIG!$G$6)</f>
        <v/>
      </c>
      <c r="C206" s="4" t="n"/>
      <c r="D206" s="4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>
        <f>IF(SUM(E206:N206)&gt;0,SUM(E206:N206),"")</f>
        <v/>
      </c>
      <c r="P206" s="4" t="n"/>
    </row>
    <row r="207">
      <c r="A207" s="12">
        <f>IF(B207=CONFIG!$G$5,A206+1,A206)</f>
        <v/>
      </c>
      <c r="B207" s="4">
        <f>IF(B206=CONFIG!$G$6,CONFIG!$G$5,CONFIG!$G$6)</f>
        <v/>
      </c>
      <c r="C207" s="4" t="n"/>
      <c r="D207" s="4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>
        <f>IF(SUM(E207:N207)&gt;0,SUM(E207:N207),"")</f>
        <v/>
      </c>
      <c r="P207" s="4" t="n"/>
    </row>
    <row r="208">
      <c r="A208" s="12">
        <f>IF(B208=CONFIG!$G$5,A207+1,A207)</f>
        <v/>
      </c>
      <c r="B208" s="4">
        <f>IF(B207=CONFIG!$G$6,CONFIG!$G$5,CONFIG!$G$6)</f>
        <v/>
      </c>
      <c r="C208" s="4" t="n"/>
      <c r="D208" s="4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>
        <f>IF(SUM(E208:N208)&gt;0,SUM(E208:N208),"")</f>
        <v/>
      </c>
      <c r="P208" s="4" t="n"/>
    </row>
    <row r="209">
      <c r="A209" s="12">
        <f>IF(B209=CONFIG!$G$5,A208+1,A208)</f>
        <v/>
      </c>
      <c r="B209" s="4">
        <f>IF(B208=CONFIG!$G$6,CONFIG!$G$5,CONFIG!$G$6)</f>
        <v/>
      </c>
      <c r="C209" s="4" t="n"/>
      <c r="D209" s="4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>
        <f>IF(SUM(E209:N209)&gt;0,SUM(E209:N209),"")</f>
        <v/>
      </c>
      <c r="P209" s="4" t="n"/>
    </row>
    <row r="210">
      <c r="A210" s="12">
        <f>IF(B210=CONFIG!$G$5,A209+1,A209)</f>
        <v/>
      </c>
      <c r="B210" s="4">
        <f>IF(B209=CONFIG!$G$6,CONFIG!$G$5,CONFIG!$G$6)</f>
        <v/>
      </c>
      <c r="C210" s="4" t="n"/>
      <c r="D210" s="4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>
        <f>IF(SUM(E210:N210)&gt;0,SUM(E210:N210),"")</f>
        <v/>
      </c>
      <c r="P210" s="4" t="n"/>
    </row>
    <row r="211">
      <c r="A211" s="12">
        <f>IF(B211=CONFIG!$G$5,A210+1,A210)</f>
        <v/>
      </c>
      <c r="B211" s="4">
        <f>IF(B210=CONFIG!$G$6,CONFIG!$G$5,CONFIG!$G$6)</f>
        <v/>
      </c>
      <c r="C211" s="4" t="n"/>
      <c r="D211" s="4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>
        <f>IF(SUM(E211:N211)&gt;0,SUM(E211:N211),"")</f>
        <v/>
      </c>
      <c r="P211" s="4" t="n"/>
    </row>
    <row r="212">
      <c r="A212" s="12">
        <f>IF(B212=CONFIG!$G$5,A211+1,A211)</f>
        <v/>
      </c>
      <c r="B212" s="4">
        <f>IF(B211=CONFIG!$G$6,CONFIG!$G$5,CONFIG!$G$6)</f>
        <v/>
      </c>
      <c r="C212" s="4" t="n"/>
      <c r="D212" s="4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>
        <f>IF(SUM(E212:N212)&gt;0,SUM(E212:N212),"")</f>
        <v/>
      </c>
      <c r="P212" s="4" t="n"/>
    </row>
    <row r="213">
      <c r="A213" s="12">
        <f>IF(B213=CONFIG!$G$5,A212+1,A212)</f>
        <v/>
      </c>
      <c r="B213" s="4">
        <f>IF(B212=CONFIG!$G$6,CONFIG!$G$5,CONFIG!$G$6)</f>
        <v/>
      </c>
      <c r="C213" s="4" t="n"/>
      <c r="D213" s="4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>
        <f>IF(SUM(E213:N213)&gt;0,SUM(E213:N213),"")</f>
        <v/>
      </c>
      <c r="P213" s="4" t="n"/>
    </row>
    <row r="214">
      <c r="A214" s="12">
        <f>IF(B214=CONFIG!$G$5,A213+1,A213)</f>
        <v/>
      </c>
      <c r="B214" s="4">
        <f>IF(B213=CONFIG!$G$6,CONFIG!$G$5,CONFIG!$G$6)</f>
        <v/>
      </c>
      <c r="C214" s="4" t="n"/>
      <c r="D214" s="4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>
        <f>IF(SUM(E214:N214)&gt;0,SUM(E214:N214),"")</f>
        <v/>
      </c>
      <c r="P214" s="4" t="n"/>
    </row>
    <row r="215">
      <c r="A215" s="12">
        <f>IF(B215=CONFIG!$G$5,A214+1,A214)</f>
        <v/>
      </c>
      <c r="B215" s="4">
        <f>IF(B214=CONFIG!$G$6,CONFIG!$G$5,CONFIG!$G$6)</f>
        <v/>
      </c>
      <c r="C215" s="4" t="n"/>
      <c r="D215" s="4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>
        <f>IF(SUM(E215:N215)&gt;0,SUM(E215:N215),"")</f>
        <v/>
      </c>
      <c r="P215" s="4" t="n"/>
    </row>
    <row r="216">
      <c r="A216" s="12">
        <f>IF(B216=CONFIG!$G$5,A215+1,A215)</f>
        <v/>
      </c>
      <c r="B216" s="4">
        <f>IF(B215=CONFIG!$G$6,CONFIG!$G$5,CONFIG!$G$6)</f>
        <v/>
      </c>
      <c r="C216" s="4" t="n"/>
      <c r="D216" s="4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>
        <f>IF(SUM(E216:N216)&gt;0,SUM(E216:N216),"")</f>
        <v/>
      </c>
      <c r="P216" s="4" t="n"/>
    </row>
    <row r="217">
      <c r="A217" s="12">
        <f>IF(B217=CONFIG!$G$5,A216+1,A216)</f>
        <v/>
      </c>
      <c r="B217" s="4">
        <f>IF(B216=CONFIG!$G$6,CONFIG!$G$5,CONFIG!$G$6)</f>
        <v/>
      </c>
      <c r="C217" s="4" t="n"/>
      <c r="D217" s="4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>
        <f>IF(SUM(E217:N217)&gt;0,SUM(E217:N217),"")</f>
        <v/>
      </c>
      <c r="P217" s="4" t="n"/>
    </row>
    <row r="218">
      <c r="A218" s="12">
        <f>IF(B218=CONFIG!$G$5,A217+1,A217)</f>
        <v/>
      </c>
      <c r="B218" s="4">
        <f>IF(B217=CONFIG!$G$6,CONFIG!$G$5,CONFIG!$G$6)</f>
        <v/>
      </c>
      <c r="C218" s="4" t="n"/>
      <c r="D218" s="4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>
        <f>IF(SUM(E218:N218)&gt;0,SUM(E218:N218),"")</f>
        <v/>
      </c>
      <c r="P218" s="4" t="n"/>
    </row>
    <row r="219">
      <c r="A219" s="12">
        <f>IF(B219=CONFIG!$G$5,A218+1,A218)</f>
        <v/>
      </c>
      <c r="B219" s="4">
        <f>IF(B218=CONFIG!$G$6,CONFIG!$G$5,CONFIG!$G$6)</f>
        <v/>
      </c>
      <c r="C219" s="4" t="n"/>
      <c r="D219" s="4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>
        <f>IF(SUM(E219:N219)&gt;0,SUM(E219:N219),"")</f>
        <v/>
      </c>
      <c r="P219" s="4" t="n"/>
    </row>
    <row r="220">
      <c r="A220" s="12">
        <f>IF(B220=CONFIG!$G$5,A219+1,A219)</f>
        <v/>
      </c>
      <c r="B220" s="4">
        <f>IF(B219=CONFIG!$G$6,CONFIG!$G$5,CONFIG!$G$6)</f>
        <v/>
      </c>
      <c r="C220" s="4" t="n"/>
      <c r="D220" s="4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>
        <f>IF(SUM(E220:N220)&gt;0,SUM(E220:N220),"")</f>
        <v/>
      </c>
      <c r="P220" s="4" t="n"/>
    </row>
    <row r="221">
      <c r="A221" s="12">
        <f>IF(B221=CONFIG!$G$5,A220+1,A220)</f>
        <v/>
      </c>
      <c r="B221" s="4">
        <f>IF(B220=CONFIG!$G$6,CONFIG!$G$5,CONFIG!$G$6)</f>
        <v/>
      </c>
      <c r="C221" s="4" t="n"/>
      <c r="D221" s="4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>
        <f>IF(SUM(E221:N221)&gt;0,SUM(E221:N221),"")</f>
        <v/>
      </c>
      <c r="P221" s="4" t="n"/>
    </row>
    <row r="222">
      <c r="A222" s="12">
        <f>IF(B222=CONFIG!$G$5,A221+1,A221)</f>
        <v/>
      </c>
      <c r="B222" s="4">
        <f>IF(B221=CONFIG!$G$6,CONFIG!$G$5,CONFIG!$G$6)</f>
        <v/>
      </c>
      <c r="C222" s="4" t="n"/>
      <c r="D222" s="4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>
        <f>IF(SUM(E222:N222)&gt;0,SUM(E222:N222),"")</f>
        <v/>
      </c>
      <c r="P222" s="4" t="n"/>
    </row>
    <row r="223">
      <c r="A223" s="12">
        <f>IF(B223=CONFIG!$G$5,A222+1,A222)</f>
        <v/>
      </c>
      <c r="B223" s="4">
        <f>IF(B222=CONFIG!$G$6,CONFIG!$G$5,CONFIG!$G$6)</f>
        <v/>
      </c>
      <c r="C223" s="4" t="n"/>
      <c r="D223" s="4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>
        <f>IF(SUM(E223:N223)&gt;0,SUM(E223:N223),"")</f>
        <v/>
      </c>
      <c r="P223" s="4" t="n"/>
    </row>
    <row r="224">
      <c r="A224" s="12">
        <f>IF(B224=CONFIG!$G$5,A223+1,A223)</f>
        <v/>
      </c>
      <c r="B224" s="4">
        <f>IF(B223=CONFIG!$G$6,CONFIG!$G$5,CONFIG!$G$6)</f>
        <v/>
      </c>
      <c r="C224" s="4" t="n"/>
      <c r="D224" s="4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>
        <f>IF(SUM(E224:N224)&gt;0,SUM(E224:N224),"")</f>
        <v/>
      </c>
      <c r="P224" s="4" t="n"/>
    </row>
    <row r="225">
      <c r="A225" s="12">
        <f>IF(B225=CONFIG!$G$5,A224+1,A224)</f>
        <v/>
      </c>
      <c r="B225" s="4">
        <f>IF(B224=CONFIG!$G$6,CONFIG!$G$5,CONFIG!$G$6)</f>
        <v/>
      </c>
      <c r="C225" s="4" t="n"/>
      <c r="D225" s="4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>
        <f>IF(SUM(E225:N225)&gt;0,SUM(E225:N225),"")</f>
        <v/>
      </c>
      <c r="P225" s="4" t="n"/>
    </row>
    <row r="226">
      <c r="A226" s="12">
        <f>IF(B226=CONFIG!$G$5,A225+1,A225)</f>
        <v/>
      </c>
      <c r="B226" s="4">
        <f>IF(B225=CONFIG!$G$6,CONFIG!$G$5,CONFIG!$G$6)</f>
        <v/>
      </c>
      <c r="C226" s="4" t="n"/>
      <c r="D226" s="4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>
        <f>IF(SUM(E226:N226)&gt;0,SUM(E226:N226),"")</f>
        <v/>
      </c>
      <c r="P226" s="4" t="n"/>
    </row>
    <row r="227">
      <c r="A227" s="12">
        <f>IF(B227=CONFIG!$G$5,A226+1,A226)</f>
        <v/>
      </c>
      <c r="B227" s="4">
        <f>IF(B226=CONFIG!$G$6,CONFIG!$G$5,CONFIG!$G$6)</f>
        <v/>
      </c>
      <c r="C227" s="4" t="n"/>
      <c r="D227" s="4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>
        <f>IF(SUM(E227:N227)&gt;0,SUM(E227:N227),"")</f>
        <v/>
      </c>
      <c r="P227" s="4" t="n"/>
    </row>
    <row r="228">
      <c r="A228" s="12">
        <f>IF(B228=CONFIG!$G$5,A227+1,A227)</f>
        <v/>
      </c>
      <c r="B228" s="4">
        <f>IF(B227=CONFIG!$G$6,CONFIG!$G$5,CONFIG!$G$6)</f>
        <v/>
      </c>
      <c r="C228" s="4" t="n"/>
      <c r="D228" s="4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>
        <f>IF(SUM(E228:N228)&gt;0,SUM(E228:N228),"")</f>
        <v/>
      </c>
      <c r="P228" s="4" t="n"/>
    </row>
    <row r="229">
      <c r="A229" s="12">
        <f>IF(B229=CONFIG!$G$5,A228+1,A228)</f>
        <v/>
      </c>
      <c r="B229" s="4">
        <f>IF(B228=CONFIG!$G$6,CONFIG!$G$5,CONFIG!$G$6)</f>
        <v/>
      </c>
      <c r="C229" s="4" t="n"/>
      <c r="D229" s="4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>
        <f>IF(SUM(E229:N229)&gt;0,SUM(E229:N229),"")</f>
        <v/>
      </c>
      <c r="P229" s="4" t="n"/>
    </row>
    <row r="230">
      <c r="A230" s="12">
        <f>IF(B230=CONFIG!$G$5,A229+1,A229)</f>
        <v/>
      </c>
      <c r="B230" s="4">
        <f>IF(B229=CONFIG!$G$6,CONFIG!$G$5,CONFIG!$G$6)</f>
        <v/>
      </c>
      <c r="C230" s="4" t="n"/>
      <c r="D230" s="4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>
        <f>IF(SUM(E230:N230)&gt;0,SUM(E230:N230),"")</f>
        <v/>
      </c>
      <c r="P230" s="4" t="n"/>
    </row>
    <row r="231">
      <c r="A231" s="12">
        <f>IF(B231=CONFIG!$G$5,A230+1,A230)</f>
        <v/>
      </c>
      <c r="B231" s="4">
        <f>IF(B230=CONFIG!$G$6,CONFIG!$G$5,CONFIG!$G$6)</f>
        <v/>
      </c>
      <c r="C231" s="4" t="n"/>
      <c r="D231" s="4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>
        <f>IF(SUM(E231:N231)&gt;0,SUM(E231:N231),"")</f>
        <v/>
      </c>
      <c r="P231" s="4" t="n"/>
    </row>
    <row r="232">
      <c r="A232" s="12">
        <f>IF(B232=CONFIG!$G$5,A231+1,A231)</f>
        <v/>
      </c>
      <c r="B232" s="4">
        <f>IF(B231=CONFIG!$G$6,CONFIG!$G$5,CONFIG!$G$6)</f>
        <v/>
      </c>
      <c r="C232" s="4" t="n"/>
      <c r="D232" s="4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>
        <f>IF(SUM(E232:N232)&gt;0,SUM(E232:N232),"")</f>
        <v/>
      </c>
      <c r="P232" s="4" t="n"/>
    </row>
    <row r="233">
      <c r="A233" s="12">
        <f>IF(B233=CONFIG!$G$5,A232+1,A232)</f>
        <v/>
      </c>
      <c r="B233" s="4">
        <f>IF(B232=CONFIG!$G$6,CONFIG!$G$5,CONFIG!$G$6)</f>
        <v/>
      </c>
      <c r="C233" s="4" t="n"/>
      <c r="D233" s="4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>
        <f>IF(SUM(E233:N233)&gt;0,SUM(E233:N233),"")</f>
        <v/>
      </c>
      <c r="P233" s="4" t="n"/>
    </row>
    <row r="234">
      <c r="A234" s="12">
        <f>IF(B234=CONFIG!$G$5,A233+1,A233)</f>
        <v/>
      </c>
      <c r="B234" s="4">
        <f>IF(B233=CONFIG!$G$6,CONFIG!$G$5,CONFIG!$G$6)</f>
        <v/>
      </c>
      <c r="C234" s="4" t="n"/>
      <c r="D234" s="4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>
        <f>IF(SUM(E234:N234)&gt;0,SUM(E234:N234),"")</f>
        <v/>
      </c>
      <c r="P234" s="4" t="n"/>
    </row>
    <row r="235">
      <c r="A235" s="12">
        <f>IF(B235=CONFIG!$G$5,A234+1,A234)</f>
        <v/>
      </c>
      <c r="B235" s="4">
        <f>IF(B234=CONFIG!$G$6,CONFIG!$G$5,CONFIG!$G$6)</f>
        <v/>
      </c>
      <c r="C235" s="4" t="n"/>
      <c r="D235" s="4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>
        <f>IF(SUM(E235:N235)&gt;0,SUM(E235:N235),"")</f>
        <v/>
      </c>
      <c r="P235" s="4" t="n"/>
    </row>
    <row r="236">
      <c r="A236" s="12">
        <f>IF(B236=CONFIG!$G$5,A235+1,A235)</f>
        <v/>
      </c>
      <c r="B236" s="4">
        <f>IF(B235=CONFIG!$G$6,CONFIG!$G$5,CONFIG!$G$6)</f>
        <v/>
      </c>
      <c r="C236" s="4" t="n"/>
      <c r="D236" s="4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>
        <f>IF(SUM(E236:N236)&gt;0,SUM(E236:N236),"")</f>
        <v/>
      </c>
      <c r="P236" s="4" t="n"/>
    </row>
    <row r="237">
      <c r="A237" s="12">
        <f>IF(B237=CONFIG!$G$5,A236+1,A236)</f>
        <v/>
      </c>
      <c r="B237" s="4">
        <f>IF(B236=CONFIG!$G$6,CONFIG!$G$5,CONFIG!$G$6)</f>
        <v/>
      </c>
      <c r="C237" s="4" t="n"/>
      <c r="D237" s="4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>
        <f>IF(SUM(E237:N237)&gt;0,SUM(E237:N237),"")</f>
        <v/>
      </c>
      <c r="P237" s="4" t="n"/>
    </row>
    <row r="238">
      <c r="A238" s="12">
        <f>IF(B238=CONFIG!$G$5,A237+1,A237)</f>
        <v/>
      </c>
      <c r="B238" s="4">
        <f>IF(B237=CONFIG!$G$6,CONFIG!$G$5,CONFIG!$G$6)</f>
        <v/>
      </c>
      <c r="C238" s="4" t="n"/>
      <c r="D238" s="4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>
        <f>IF(SUM(E238:N238)&gt;0,SUM(E238:N238),"")</f>
        <v/>
      </c>
      <c r="P238" s="4" t="n"/>
    </row>
    <row r="239">
      <c r="A239" s="12">
        <f>IF(B239=CONFIG!$G$5,A238+1,A238)</f>
        <v/>
      </c>
      <c r="B239" s="4">
        <f>IF(B238=CONFIG!$G$6,CONFIG!$G$5,CONFIG!$G$6)</f>
        <v/>
      </c>
      <c r="C239" s="4" t="n"/>
      <c r="D239" s="4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>
        <f>IF(SUM(E239:N239)&gt;0,SUM(E239:N239),"")</f>
        <v/>
      </c>
      <c r="P239" s="4" t="n"/>
    </row>
    <row r="240">
      <c r="A240" s="12">
        <f>IF(B240=CONFIG!$G$5,A239+1,A239)</f>
        <v/>
      </c>
      <c r="B240" s="4">
        <f>IF(B239=CONFIG!$G$6,CONFIG!$G$5,CONFIG!$G$6)</f>
        <v/>
      </c>
      <c r="C240" s="4" t="n"/>
      <c r="D240" s="4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>
        <f>IF(SUM(E240:N240)&gt;0,SUM(E240:N240),"")</f>
        <v/>
      </c>
      <c r="P240" s="4" t="n"/>
    </row>
    <row r="241">
      <c r="A241" s="12">
        <f>IF(B241=CONFIG!$G$5,A240+1,A240)</f>
        <v/>
      </c>
      <c r="B241" s="4">
        <f>IF(B240=CONFIG!$G$6,CONFIG!$G$5,CONFIG!$G$6)</f>
        <v/>
      </c>
      <c r="C241" s="4" t="n"/>
      <c r="D241" s="4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>
        <f>IF(SUM(E241:N241)&gt;0,SUM(E241:N241),"")</f>
        <v/>
      </c>
      <c r="P241" s="4" t="n"/>
    </row>
    <row r="242">
      <c r="A242" s="12">
        <f>IF(B242=CONFIG!$G$5,A241+1,A241)</f>
        <v/>
      </c>
      <c r="B242" s="4">
        <f>IF(B241=CONFIG!$G$6,CONFIG!$G$5,CONFIG!$G$6)</f>
        <v/>
      </c>
      <c r="C242" s="4" t="n"/>
      <c r="D242" s="4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>
        <f>IF(SUM(E242:N242)&gt;0,SUM(E242:N242),"")</f>
        <v/>
      </c>
      <c r="P242" s="4" t="n"/>
    </row>
    <row r="243">
      <c r="A243" s="12">
        <f>IF(B243=CONFIG!$G$5,A242+1,A242)</f>
        <v/>
      </c>
      <c r="B243" s="4">
        <f>IF(B242=CONFIG!$G$6,CONFIG!$G$5,CONFIG!$G$6)</f>
        <v/>
      </c>
      <c r="C243" s="4" t="n"/>
      <c r="D243" s="4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>
        <f>IF(SUM(E243:N243)&gt;0,SUM(E243:N243),"")</f>
        <v/>
      </c>
      <c r="P243" s="4" t="n"/>
    </row>
    <row r="244">
      <c r="A244" s="12">
        <f>IF(B244=CONFIG!$G$5,A243+1,A243)</f>
        <v/>
      </c>
      <c r="B244" s="4">
        <f>IF(B243=CONFIG!$G$6,CONFIG!$G$5,CONFIG!$G$6)</f>
        <v/>
      </c>
      <c r="C244" s="4" t="n"/>
      <c r="D244" s="4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>
        <f>IF(SUM(E244:N244)&gt;0,SUM(E244:N244),"")</f>
        <v/>
      </c>
      <c r="P244" s="4" t="n"/>
    </row>
    <row r="245">
      <c r="A245" s="12">
        <f>IF(B245=CONFIG!$G$5,A244+1,A244)</f>
        <v/>
      </c>
      <c r="B245" s="4">
        <f>IF(B244=CONFIG!$G$6,CONFIG!$G$5,CONFIG!$G$6)</f>
        <v/>
      </c>
      <c r="C245" s="4" t="n"/>
      <c r="D245" s="4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>
        <f>IF(SUM(E245:N245)&gt;0,SUM(E245:N245),"")</f>
        <v/>
      </c>
      <c r="P245" s="4" t="n"/>
    </row>
    <row r="246">
      <c r="A246" s="12">
        <f>IF(B246=CONFIG!$G$5,A245+1,A245)</f>
        <v/>
      </c>
      <c r="B246" s="4">
        <f>IF(B245=CONFIG!$G$6,CONFIG!$G$5,CONFIG!$G$6)</f>
        <v/>
      </c>
      <c r="C246" s="4" t="n"/>
      <c r="D246" s="4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>
        <f>IF(SUM(E246:N246)&gt;0,SUM(E246:N246),"")</f>
        <v/>
      </c>
      <c r="P246" s="4" t="n"/>
    </row>
    <row r="247">
      <c r="A247" s="12">
        <f>IF(B247=CONFIG!$G$5,A246+1,A246)</f>
        <v/>
      </c>
      <c r="B247" s="4">
        <f>IF(B246=CONFIG!$G$6,CONFIG!$G$5,CONFIG!$G$6)</f>
        <v/>
      </c>
      <c r="C247" s="4" t="n"/>
      <c r="D247" s="4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>
        <f>IF(SUM(E247:N247)&gt;0,SUM(E247:N247),"")</f>
        <v/>
      </c>
      <c r="P247" s="4" t="n"/>
    </row>
    <row r="248">
      <c r="A248" s="12">
        <f>IF(B248=CONFIG!$G$5,A247+1,A247)</f>
        <v/>
      </c>
      <c r="B248" s="4">
        <f>IF(B247=CONFIG!$G$6,CONFIG!$G$5,CONFIG!$G$6)</f>
        <v/>
      </c>
      <c r="C248" s="4" t="n"/>
      <c r="D248" s="4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>
        <f>IF(SUM(E248:N248)&gt;0,SUM(E248:N248),"")</f>
        <v/>
      </c>
      <c r="P248" s="4" t="n"/>
    </row>
    <row r="249">
      <c r="A249" s="12">
        <f>IF(B249=CONFIG!$G$5,A248+1,A248)</f>
        <v/>
      </c>
      <c r="B249" s="4">
        <f>IF(B248=CONFIG!$G$6,CONFIG!$G$5,CONFIG!$G$6)</f>
        <v/>
      </c>
      <c r="C249" s="4" t="n"/>
      <c r="D249" s="4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>
        <f>IF(SUM(E249:N249)&gt;0,SUM(E249:N249),"")</f>
        <v/>
      </c>
      <c r="P249" s="4" t="n"/>
    </row>
    <row r="250">
      <c r="A250" s="12">
        <f>IF(B250=CONFIG!$G$5,A249+1,A249)</f>
        <v/>
      </c>
      <c r="B250" s="4">
        <f>IF(B249=CONFIG!$G$6,CONFIG!$G$5,CONFIG!$G$6)</f>
        <v/>
      </c>
      <c r="C250" s="4" t="n"/>
      <c r="D250" s="4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>
        <f>IF(SUM(E250:N250)&gt;0,SUM(E250:N250),"")</f>
        <v/>
      </c>
      <c r="P250" s="4" t="n"/>
    </row>
    <row r="251">
      <c r="A251" s="12">
        <f>IF(B251=CONFIG!$G$5,A250+1,A250)</f>
        <v/>
      </c>
      <c r="B251" s="4">
        <f>IF(B250=CONFIG!$G$6,CONFIG!$G$5,CONFIG!$G$6)</f>
        <v/>
      </c>
      <c r="C251" s="4" t="n"/>
      <c r="D251" s="4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>
        <f>IF(SUM(E251:N251)&gt;0,SUM(E251:N251),"")</f>
        <v/>
      </c>
      <c r="P251" s="4" t="n"/>
    </row>
    <row r="252">
      <c r="A252" s="12">
        <f>IF(B252=CONFIG!$G$5,A251+1,A251)</f>
        <v/>
      </c>
      <c r="B252" s="4">
        <f>IF(B251=CONFIG!$G$6,CONFIG!$G$5,CONFIG!$G$6)</f>
        <v/>
      </c>
      <c r="C252" s="4" t="n"/>
      <c r="D252" s="4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>
        <f>IF(SUM(E252:N252)&gt;0,SUM(E252:N252),"")</f>
        <v/>
      </c>
      <c r="P252" s="4" t="n"/>
    </row>
    <row r="253">
      <c r="A253" s="12">
        <f>IF(B253=CONFIG!$G$5,A252+1,A252)</f>
        <v/>
      </c>
      <c r="B253" s="4">
        <f>IF(B252=CONFIG!$G$6,CONFIG!$G$5,CONFIG!$G$6)</f>
        <v/>
      </c>
      <c r="C253" s="4" t="n"/>
      <c r="D253" s="4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>
        <f>IF(SUM(E253:N253)&gt;0,SUM(E253:N253),"")</f>
        <v/>
      </c>
      <c r="P253" s="4" t="n"/>
    </row>
    <row r="254">
      <c r="A254" s="12">
        <f>IF(B254=CONFIG!$G$5,A253+1,A253)</f>
        <v/>
      </c>
      <c r="B254" s="4">
        <f>IF(B253=CONFIG!$G$6,CONFIG!$G$5,CONFIG!$G$6)</f>
        <v/>
      </c>
      <c r="C254" s="4" t="n"/>
      <c r="D254" s="4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>
        <f>IF(SUM(E254:N254)&gt;0,SUM(E254:N254),"")</f>
        <v/>
      </c>
      <c r="P254" s="4" t="n"/>
    </row>
    <row r="255">
      <c r="A255" s="12">
        <f>IF(B255=CONFIG!$G$5,A254+1,A254)</f>
        <v/>
      </c>
      <c r="B255" s="4">
        <f>IF(B254=CONFIG!$G$6,CONFIG!$G$5,CONFIG!$G$6)</f>
        <v/>
      </c>
      <c r="C255" s="4" t="n"/>
      <c r="D255" s="4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>
        <f>IF(SUM(E255:N255)&gt;0,SUM(E255:N255),"")</f>
        <v/>
      </c>
      <c r="P255" s="4" t="n"/>
    </row>
    <row r="256">
      <c r="A256" s="12">
        <f>IF(B256=CONFIG!$G$5,A255+1,A255)</f>
        <v/>
      </c>
      <c r="B256" s="4">
        <f>IF(B255=CONFIG!$G$6,CONFIG!$G$5,CONFIG!$G$6)</f>
        <v/>
      </c>
      <c r="C256" s="4" t="n"/>
      <c r="D256" s="4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>
        <f>IF(SUM(E256:N256)&gt;0,SUM(E256:N256),"")</f>
        <v/>
      </c>
      <c r="P256" s="4" t="n"/>
    </row>
    <row r="257">
      <c r="A257" s="12">
        <f>IF(B257=CONFIG!$G$5,A256+1,A256)</f>
        <v/>
      </c>
      <c r="B257" s="4">
        <f>IF(B256=CONFIG!$G$6,CONFIG!$G$5,CONFIG!$G$6)</f>
        <v/>
      </c>
      <c r="C257" s="4" t="n"/>
      <c r="D257" s="4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>
        <f>IF(SUM(E257:N257)&gt;0,SUM(E257:N257),"")</f>
        <v/>
      </c>
      <c r="P257" s="4" t="n"/>
    </row>
    <row r="258">
      <c r="A258" s="12">
        <f>IF(B258=CONFIG!$G$5,A257+1,A257)</f>
        <v/>
      </c>
      <c r="B258" s="4">
        <f>IF(B257=CONFIG!$G$6,CONFIG!$G$5,CONFIG!$G$6)</f>
        <v/>
      </c>
      <c r="C258" s="4" t="n"/>
      <c r="D258" s="4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>
        <f>IF(SUM(E258:N258)&gt;0,SUM(E258:N258),"")</f>
        <v/>
      </c>
      <c r="P258" s="4" t="n"/>
    </row>
    <row r="259">
      <c r="A259" s="12">
        <f>IF(B259=CONFIG!$G$5,A258+1,A258)</f>
        <v/>
      </c>
      <c r="B259" s="4">
        <f>IF(B258=CONFIG!$G$6,CONFIG!$G$5,CONFIG!$G$6)</f>
        <v/>
      </c>
      <c r="C259" s="4" t="n"/>
      <c r="D259" s="4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>
        <f>IF(SUM(E259:N259)&gt;0,SUM(E259:N259),"")</f>
        <v/>
      </c>
      <c r="P259" s="4" t="n"/>
    </row>
    <row r="260">
      <c r="A260" s="12">
        <f>IF(B260=CONFIG!$G$5,A259+1,A259)</f>
        <v/>
      </c>
      <c r="B260" s="4">
        <f>IF(B259=CONFIG!$G$6,CONFIG!$G$5,CONFIG!$G$6)</f>
        <v/>
      </c>
      <c r="C260" s="4" t="n"/>
      <c r="D260" s="4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>
        <f>IF(SUM(E260:N260)&gt;0,SUM(E260:N260),"")</f>
        <v/>
      </c>
      <c r="P260" s="4" t="n"/>
    </row>
    <row r="261">
      <c r="A261" s="12">
        <f>IF(B261=CONFIG!$G$5,A260+1,A260)</f>
        <v/>
      </c>
      <c r="B261" s="4">
        <f>IF(B260=CONFIG!$G$6,CONFIG!$G$5,CONFIG!$G$6)</f>
        <v/>
      </c>
      <c r="C261" s="4" t="n"/>
      <c r="D261" s="4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>
        <f>IF(SUM(E261:N261)&gt;0,SUM(E261:N261),"")</f>
        <v/>
      </c>
      <c r="P261" s="4" t="n"/>
    </row>
    <row r="262">
      <c r="A262" s="12">
        <f>IF(B262=CONFIG!$G$5,A261+1,A261)</f>
        <v/>
      </c>
      <c r="B262" s="4">
        <f>IF(B261=CONFIG!$G$6,CONFIG!$G$5,CONFIG!$G$6)</f>
        <v/>
      </c>
      <c r="C262" s="4" t="n"/>
      <c r="D262" s="4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>
        <f>IF(SUM(E262:N262)&gt;0,SUM(E262:N262),"")</f>
        <v/>
      </c>
      <c r="P262" s="4" t="n"/>
    </row>
    <row r="263">
      <c r="A263" s="12">
        <f>IF(B263=CONFIG!$G$5,A262+1,A262)</f>
        <v/>
      </c>
      <c r="B263" s="4">
        <f>IF(B262=CONFIG!$G$6,CONFIG!$G$5,CONFIG!$G$6)</f>
        <v/>
      </c>
      <c r="C263" s="4" t="n"/>
      <c r="D263" s="4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>
        <f>IF(SUM(E263:N263)&gt;0,SUM(E263:N263),"")</f>
        <v/>
      </c>
      <c r="P263" s="4" t="n"/>
    </row>
    <row r="264">
      <c r="A264" s="12">
        <f>IF(B264=CONFIG!$G$5,A263+1,A263)</f>
        <v/>
      </c>
      <c r="B264" s="4">
        <f>IF(B263=CONFIG!$G$6,CONFIG!$G$5,CONFIG!$G$6)</f>
        <v/>
      </c>
      <c r="C264" s="4" t="n"/>
      <c r="D264" s="4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>
        <f>IF(SUM(E264:N264)&gt;0,SUM(E264:N264),"")</f>
        <v/>
      </c>
      <c r="P264" s="4" t="n"/>
    </row>
    <row r="265">
      <c r="A265" s="12">
        <f>IF(B265=CONFIG!$G$5,A264+1,A264)</f>
        <v/>
      </c>
      <c r="B265" s="4">
        <f>IF(B264=CONFIG!$G$6,CONFIG!$G$5,CONFIG!$G$6)</f>
        <v/>
      </c>
      <c r="C265" s="4" t="n"/>
      <c r="D265" s="4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>
        <f>IF(SUM(E265:N265)&gt;0,SUM(E265:N265),"")</f>
        <v/>
      </c>
      <c r="P265" s="4" t="n"/>
    </row>
    <row r="266">
      <c r="A266" s="12">
        <f>IF(B266=CONFIG!$G$5,A265+1,A265)</f>
        <v/>
      </c>
      <c r="B266" s="4">
        <f>IF(B265=CONFIG!$G$6,CONFIG!$G$5,CONFIG!$G$6)</f>
        <v/>
      </c>
      <c r="C266" s="4" t="n"/>
      <c r="D266" s="4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>
        <f>IF(SUM(E266:N266)&gt;0,SUM(E266:N266),"")</f>
        <v/>
      </c>
      <c r="P266" s="4" t="n"/>
    </row>
    <row r="267">
      <c r="A267" s="12">
        <f>IF(B267=CONFIG!$G$5,A266+1,A266)</f>
        <v/>
      </c>
      <c r="B267" s="4">
        <f>IF(B266=CONFIG!$G$6,CONFIG!$G$5,CONFIG!$G$6)</f>
        <v/>
      </c>
      <c r="C267" s="4" t="n"/>
      <c r="D267" s="4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>
        <f>IF(SUM(E267:N267)&gt;0,SUM(E267:N267),"")</f>
        <v/>
      </c>
      <c r="P267" s="4" t="n"/>
    </row>
    <row r="268">
      <c r="A268" s="12">
        <f>IF(B268=CONFIG!$G$5,A267+1,A267)</f>
        <v/>
      </c>
      <c r="B268" s="4">
        <f>IF(B267=CONFIG!$G$6,CONFIG!$G$5,CONFIG!$G$6)</f>
        <v/>
      </c>
      <c r="C268" s="4" t="n"/>
      <c r="D268" s="4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>
        <f>IF(SUM(E268:N268)&gt;0,SUM(E268:N268),"")</f>
        <v/>
      </c>
      <c r="P268" s="4" t="n"/>
    </row>
    <row r="269">
      <c r="A269" s="12">
        <f>IF(B269=CONFIG!$G$5,A268+1,A268)</f>
        <v/>
      </c>
      <c r="B269" s="4">
        <f>IF(B268=CONFIG!$G$6,CONFIG!$G$5,CONFIG!$G$6)</f>
        <v/>
      </c>
      <c r="C269" s="4" t="n"/>
      <c r="D269" s="4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>
        <f>IF(SUM(E269:N269)&gt;0,SUM(E269:N269),"")</f>
        <v/>
      </c>
      <c r="P269" s="4" t="n"/>
    </row>
    <row r="270">
      <c r="A270" s="12">
        <f>IF(B270=CONFIG!$G$5,A269+1,A269)</f>
        <v/>
      </c>
      <c r="B270" s="4">
        <f>IF(B269=CONFIG!$G$6,CONFIG!$G$5,CONFIG!$G$6)</f>
        <v/>
      </c>
      <c r="C270" s="4" t="n"/>
      <c r="D270" s="4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>
        <f>IF(SUM(E270:N270)&gt;0,SUM(E270:N270),"")</f>
        <v/>
      </c>
      <c r="P270" s="4" t="n"/>
    </row>
    <row r="271">
      <c r="A271" s="12">
        <f>IF(B271=CONFIG!$G$5,A270+1,A270)</f>
        <v/>
      </c>
      <c r="B271" s="4">
        <f>IF(B270=CONFIG!$G$6,CONFIG!$G$5,CONFIG!$G$6)</f>
        <v/>
      </c>
      <c r="C271" s="4" t="n"/>
      <c r="D271" s="4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>
        <f>IF(SUM(E271:N271)&gt;0,SUM(E271:N271),"")</f>
        <v/>
      </c>
      <c r="P271" s="4" t="n"/>
    </row>
    <row r="272">
      <c r="A272" s="12">
        <f>IF(B272=CONFIG!$G$5,A271+1,A271)</f>
        <v/>
      </c>
      <c r="B272" s="4">
        <f>IF(B271=CONFIG!$G$6,CONFIG!$G$5,CONFIG!$G$6)</f>
        <v/>
      </c>
      <c r="C272" s="4" t="n"/>
      <c r="D272" s="4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>
        <f>IF(SUM(E272:N272)&gt;0,SUM(E272:N272),"")</f>
        <v/>
      </c>
      <c r="P272" s="4" t="n"/>
    </row>
    <row r="273">
      <c r="A273" s="12">
        <f>IF(B273=CONFIG!$G$5,A272+1,A272)</f>
        <v/>
      </c>
      <c r="B273" s="4">
        <f>IF(B272=CONFIG!$G$6,CONFIG!$G$5,CONFIG!$G$6)</f>
        <v/>
      </c>
      <c r="C273" s="4" t="n"/>
      <c r="D273" s="4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>
        <f>IF(SUM(E273:N273)&gt;0,SUM(E273:N273),"")</f>
        <v/>
      </c>
      <c r="P273" s="4" t="n"/>
    </row>
    <row r="274">
      <c r="A274" s="12">
        <f>IF(B274=CONFIG!$G$5,A273+1,A273)</f>
        <v/>
      </c>
      <c r="B274" s="4">
        <f>IF(B273=CONFIG!$G$6,CONFIG!$G$5,CONFIG!$G$6)</f>
        <v/>
      </c>
      <c r="C274" s="4" t="n"/>
      <c r="D274" s="4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>
        <f>IF(SUM(E274:N274)&gt;0,SUM(E274:N274),"")</f>
        <v/>
      </c>
      <c r="P274" s="4" t="n"/>
    </row>
    <row r="275">
      <c r="A275" s="12">
        <f>IF(B275=CONFIG!$G$5,A274+1,A274)</f>
        <v/>
      </c>
      <c r="B275" s="4">
        <f>IF(B274=CONFIG!$G$6,CONFIG!$G$5,CONFIG!$G$6)</f>
        <v/>
      </c>
      <c r="C275" s="4" t="n"/>
      <c r="D275" s="4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>
        <f>IF(SUM(E275:N275)&gt;0,SUM(E275:N275),"")</f>
        <v/>
      </c>
      <c r="P275" s="4" t="n"/>
    </row>
    <row r="276">
      <c r="A276" s="12">
        <f>IF(B276=CONFIG!$G$5,A275+1,A275)</f>
        <v/>
      </c>
      <c r="B276" s="4">
        <f>IF(B275=CONFIG!$G$6,CONFIG!$G$5,CONFIG!$G$6)</f>
        <v/>
      </c>
      <c r="C276" s="4" t="n"/>
      <c r="D276" s="4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>
        <f>IF(SUM(E276:N276)&gt;0,SUM(E276:N276),"")</f>
        <v/>
      </c>
      <c r="P276" s="4" t="n"/>
    </row>
    <row r="277">
      <c r="A277" s="12">
        <f>IF(B277=CONFIG!$G$5,A276+1,A276)</f>
        <v/>
      </c>
      <c r="B277" s="4">
        <f>IF(B276=CONFIG!$G$6,CONFIG!$G$5,CONFIG!$G$6)</f>
        <v/>
      </c>
      <c r="C277" s="4" t="n"/>
      <c r="D277" s="4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>
        <f>IF(SUM(E277:N277)&gt;0,SUM(E277:N277),"")</f>
        <v/>
      </c>
      <c r="P277" s="4" t="n"/>
    </row>
    <row r="278">
      <c r="A278" s="12">
        <f>IF(B278=CONFIG!$G$5,A277+1,A277)</f>
        <v/>
      </c>
      <c r="B278" s="4">
        <f>IF(B277=CONFIG!$G$6,CONFIG!$G$5,CONFIG!$G$6)</f>
        <v/>
      </c>
      <c r="C278" s="4" t="n"/>
      <c r="D278" s="4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>
        <f>IF(SUM(E278:N278)&gt;0,SUM(E278:N278),"")</f>
        <v/>
      </c>
      <c r="P278" s="4" t="n"/>
    </row>
    <row r="279">
      <c r="A279" s="12">
        <f>IF(B279=CONFIG!$G$5,A278+1,A278)</f>
        <v/>
      </c>
      <c r="B279" s="4">
        <f>IF(B278=CONFIG!$G$6,CONFIG!$G$5,CONFIG!$G$6)</f>
        <v/>
      </c>
      <c r="C279" s="4" t="n"/>
      <c r="D279" s="4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>
        <f>IF(SUM(E279:N279)&gt;0,SUM(E279:N279),"")</f>
        <v/>
      </c>
      <c r="P279" s="4" t="n"/>
    </row>
    <row r="280">
      <c r="A280" s="12">
        <f>IF(B280=CONFIG!$G$5,A279+1,A279)</f>
        <v/>
      </c>
      <c r="B280" s="4">
        <f>IF(B279=CONFIG!$G$6,CONFIG!$G$5,CONFIG!$G$6)</f>
        <v/>
      </c>
      <c r="C280" s="4" t="n"/>
      <c r="D280" s="4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>
        <f>IF(SUM(E280:N280)&gt;0,SUM(E280:N280),"")</f>
        <v/>
      </c>
      <c r="P280" s="4" t="n"/>
    </row>
    <row r="281">
      <c r="A281" s="12">
        <f>IF(B281=CONFIG!$G$5,A280+1,A280)</f>
        <v/>
      </c>
      <c r="B281" s="4">
        <f>IF(B280=CONFIG!$G$6,CONFIG!$G$5,CONFIG!$G$6)</f>
        <v/>
      </c>
      <c r="C281" s="4" t="n"/>
      <c r="D281" s="4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>
        <f>IF(SUM(E281:N281)&gt;0,SUM(E281:N281),"")</f>
        <v/>
      </c>
      <c r="P281" s="4" t="n"/>
    </row>
    <row r="282">
      <c r="A282" s="12">
        <f>IF(B282=CONFIG!$G$5,A281+1,A281)</f>
        <v/>
      </c>
      <c r="B282" s="4">
        <f>IF(B281=CONFIG!$G$6,CONFIG!$G$5,CONFIG!$G$6)</f>
        <v/>
      </c>
      <c r="C282" s="4" t="n"/>
      <c r="D282" s="4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>
        <f>IF(SUM(E282:N282)&gt;0,SUM(E282:N282),"")</f>
        <v/>
      </c>
      <c r="P282" s="4" t="n"/>
    </row>
    <row r="283">
      <c r="A283" s="12">
        <f>IF(B283=CONFIG!$G$5,A282+1,A282)</f>
        <v/>
      </c>
      <c r="B283" s="4">
        <f>IF(B282=CONFIG!$G$6,CONFIG!$G$5,CONFIG!$G$6)</f>
        <v/>
      </c>
      <c r="C283" s="4" t="n"/>
      <c r="D283" s="4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>
        <f>IF(SUM(E283:N283)&gt;0,SUM(E283:N283),"")</f>
        <v/>
      </c>
      <c r="P283" s="4" t="n"/>
    </row>
    <row r="284">
      <c r="A284" s="12">
        <f>IF(B284=CONFIG!$G$5,A283+1,A283)</f>
        <v/>
      </c>
      <c r="B284" s="4">
        <f>IF(B283=CONFIG!$G$6,CONFIG!$G$5,CONFIG!$G$6)</f>
        <v/>
      </c>
      <c r="C284" s="4" t="n"/>
      <c r="D284" s="4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>
        <f>IF(SUM(E284:N284)&gt;0,SUM(E284:N284),"")</f>
        <v/>
      </c>
      <c r="P284" s="4" t="n"/>
    </row>
    <row r="285">
      <c r="A285" s="12">
        <f>IF(B285=CONFIG!$G$5,A284+1,A284)</f>
        <v/>
      </c>
      <c r="B285" s="4">
        <f>IF(B284=CONFIG!$G$6,CONFIG!$G$5,CONFIG!$G$6)</f>
        <v/>
      </c>
      <c r="C285" s="4" t="n"/>
      <c r="D285" s="4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>
        <f>IF(SUM(E285:N285)&gt;0,SUM(E285:N285),"")</f>
        <v/>
      </c>
      <c r="P285" s="4" t="n"/>
    </row>
    <row r="286">
      <c r="A286" s="12">
        <f>IF(B286=CONFIG!$G$5,A285+1,A285)</f>
        <v/>
      </c>
      <c r="B286" s="4">
        <f>IF(B285=CONFIG!$G$6,CONFIG!$G$5,CONFIG!$G$6)</f>
        <v/>
      </c>
      <c r="C286" s="4" t="n"/>
      <c r="D286" s="4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>
        <f>IF(SUM(E286:N286)&gt;0,SUM(E286:N286),"")</f>
        <v/>
      </c>
      <c r="P286" s="4" t="n"/>
    </row>
    <row r="287">
      <c r="A287" s="12">
        <f>IF(B287=CONFIG!$G$5,A286+1,A286)</f>
        <v/>
      </c>
      <c r="B287" s="4">
        <f>IF(B286=CONFIG!$G$6,CONFIG!$G$5,CONFIG!$G$6)</f>
        <v/>
      </c>
      <c r="C287" s="4" t="n"/>
      <c r="D287" s="4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>
        <f>IF(SUM(E287:N287)&gt;0,SUM(E287:N287),"")</f>
        <v/>
      </c>
      <c r="P287" s="4" t="n"/>
    </row>
    <row r="288">
      <c r="A288" s="12">
        <f>IF(B288=CONFIG!$G$5,A287+1,A287)</f>
        <v/>
      </c>
      <c r="B288" s="4">
        <f>IF(B287=CONFIG!$G$6,CONFIG!$G$5,CONFIG!$G$6)</f>
        <v/>
      </c>
      <c r="C288" s="4" t="n"/>
      <c r="D288" s="4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>
        <f>IF(SUM(E288:N288)&gt;0,SUM(E288:N288),"")</f>
        <v/>
      </c>
      <c r="P288" s="4" t="n"/>
    </row>
    <row r="289">
      <c r="A289" s="12">
        <f>IF(B289=CONFIG!$G$5,A288+1,A288)</f>
        <v/>
      </c>
      <c r="B289" s="4">
        <f>IF(B288=CONFIG!$G$6,CONFIG!$G$5,CONFIG!$G$6)</f>
        <v/>
      </c>
      <c r="C289" s="4" t="n"/>
      <c r="D289" s="4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>
        <f>IF(SUM(E289:N289)&gt;0,SUM(E289:N289),"")</f>
        <v/>
      </c>
      <c r="P289" s="4" t="n"/>
    </row>
    <row r="290">
      <c r="A290" s="12">
        <f>IF(B290=CONFIG!$G$5,A289+1,A289)</f>
        <v/>
      </c>
      <c r="B290" s="4">
        <f>IF(B289=CONFIG!$G$6,CONFIG!$G$5,CONFIG!$G$6)</f>
        <v/>
      </c>
      <c r="C290" s="4" t="n"/>
      <c r="D290" s="4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>
        <f>IF(SUM(E290:N290)&gt;0,SUM(E290:N290),"")</f>
        <v/>
      </c>
      <c r="P290" s="4" t="n"/>
    </row>
    <row r="291">
      <c r="A291" s="12">
        <f>IF(B291=CONFIG!$G$5,A290+1,A290)</f>
        <v/>
      </c>
      <c r="B291" s="4">
        <f>IF(B290=CONFIG!$G$6,CONFIG!$G$5,CONFIG!$G$6)</f>
        <v/>
      </c>
      <c r="C291" s="4" t="n"/>
      <c r="D291" s="4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>
        <f>IF(SUM(E291:N291)&gt;0,SUM(E291:N291),"")</f>
        <v/>
      </c>
      <c r="P291" s="4" t="n"/>
    </row>
    <row r="292">
      <c r="A292" s="12">
        <f>IF(B292=CONFIG!$G$5,A291+1,A291)</f>
        <v/>
      </c>
      <c r="B292" s="4">
        <f>IF(B291=CONFIG!$G$6,CONFIG!$G$5,CONFIG!$G$6)</f>
        <v/>
      </c>
      <c r="C292" s="4" t="n"/>
      <c r="D292" s="4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>
        <f>IF(SUM(E292:N292)&gt;0,SUM(E292:N292),"")</f>
        <v/>
      </c>
      <c r="P292" s="4" t="n"/>
    </row>
    <row r="293">
      <c r="A293" s="12">
        <f>IF(B293=CONFIG!$G$5,A292+1,A292)</f>
        <v/>
      </c>
      <c r="B293" s="4">
        <f>IF(B292=CONFIG!$G$6,CONFIG!$G$5,CONFIG!$G$6)</f>
        <v/>
      </c>
      <c r="C293" s="4" t="n"/>
      <c r="D293" s="4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>
        <f>IF(SUM(E293:N293)&gt;0,SUM(E293:N293),"")</f>
        <v/>
      </c>
      <c r="P293" s="4" t="n"/>
    </row>
    <row r="294">
      <c r="A294" s="12">
        <f>IF(B294=CONFIG!$G$5,A293+1,A293)</f>
        <v/>
      </c>
      <c r="B294" s="4">
        <f>IF(B293=CONFIG!$G$6,CONFIG!$G$5,CONFIG!$G$6)</f>
        <v/>
      </c>
      <c r="C294" s="4" t="n"/>
      <c r="D294" s="4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>
        <f>IF(SUM(E294:N294)&gt;0,SUM(E294:N294),"")</f>
        <v/>
      </c>
      <c r="P294" s="4" t="n"/>
    </row>
    <row r="295">
      <c r="A295" s="12">
        <f>IF(B295=CONFIG!$G$5,A294+1,A294)</f>
        <v/>
      </c>
      <c r="B295" s="4">
        <f>IF(B294=CONFIG!$G$6,CONFIG!$G$5,CONFIG!$G$6)</f>
        <v/>
      </c>
      <c r="C295" s="4" t="n"/>
      <c r="D295" s="4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>
        <f>IF(SUM(E295:N295)&gt;0,SUM(E295:N295),"")</f>
        <v/>
      </c>
      <c r="P295" s="4" t="n"/>
    </row>
    <row r="296">
      <c r="A296" s="12">
        <f>IF(B296=CONFIG!$G$5,A295+1,A295)</f>
        <v/>
      </c>
      <c r="B296" s="4">
        <f>IF(B295=CONFIG!$G$6,CONFIG!$G$5,CONFIG!$G$6)</f>
        <v/>
      </c>
      <c r="C296" s="4" t="n"/>
      <c r="D296" s="4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>
        <f>IF(SUM(E296:N296)&gt;0,SUM(E296:N296),"")</f>
        <v/>
      </c>
      <c r="P296" s="4" t="n"/>
    </row>
    <row r="297">
      <c r="A297" s="12">
        <f>IF(B297=CONFIG!$G$5,A296+1,A296)</f>
        <v/>
      </c>
      <c r="B297" s="4">
        <f>IF(B296=CONFIG!$G$6,CONFIG!$G$5,CONFIG!$G$6)</f>
        <v/>
      </c>
      <c r="C297" s="4" t="n"/>
      <c r="D297" s="4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>
        <f>IF(SUM(E297:N297)&gt;0,SUM(E297:N297),"")</f>
        <v/>
      </c>
      <c r="P297" s="4" t="n"/>
    </row>
    <row r="298">
      <c r="A298" s="12">
        <f>IF(B298=CONFIG!$G$5,A297+1,A297)</f>
        <v/>
      </c>
      <c r="B298" s="4">
        <f>IF(B297=CONFIG!$G$6,CONFIG!$G$5,CONFIG!$G$6)</f>
        <v/>
      </c>
      <c r="C298" s="4" t="n"/>
      <c r="D298" s="4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>
        <f>IF(SUM(E298:N298)&gt;0,SUM(E298:N298),"")</f>
        <v/>
      </c>
      <c r="P298" s="4" t="n"/>
    </row>
    <row r="299">
      <c r="A299" s="12">
        <f>IF(B299=CONFIG!$G$5,A298+1,A298)</f>
        <v/>
      </c>
      <c r="B299" s="4">
        <f>IF(B298=CONFIG!$G$6,CONFIG!$G$5,CONFIG!$G$6)</f>
        <v/>
      </c>
      <c r="C299" s="4" t="n"/>
      <c r="D299" s="4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>
        <f>IF(SUM(E299:N299)&gt;0,SUM(E299:N299),"")</f>
        <v/>
      </c>
      <c r="P299" s="4" t="n"/>
    </row>
    <row r="300">
      <c r="A300" s="12">
        <f>IF(B300=CONFIG!$G$5,A299+1,A299)</f>
        <v/>
      </c>
      <c r="B300" s="4">
        <f>IF(B299=CONFIG!$G$6,CONFIG!$G$5,CONFIG!$G$6)</f>
        <v/>
      </c>
      <c r="C300" s="4" t="n"/>
      <c r="D300" s="4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>
        <f>IF(SUM(E300:N300)&gt;0,SUM(E300:N300),"")</f>
        <v/>
      </c>
      <c r="P300" s="4" t="n"/>
    </row>
    <row r="301">
      <c r="A301" s="12">
        <f>IF(B301=CONFIG!$G$5,A300+1,A300)</f>
        <v/>
      </c>
      <c r="B301" s="4">
        <f>IF(B300=CONFIG!$G$6,CONFIG!$G$5,CONFIG!$G$6)</f>
        <v/>
      </c>
      <c r="C301" s="4" t="n"/>
      <c r="D301" s="4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>
        <f>IF(SUM(E301:N301)&gt;0,SUM(E301:N301),"")</f>
        <v/>
      </c>
      <c r="P301" s="4" t="n"/>
    </row>
    <row r="302">
      <c r="A302" s="12">
        <f>IF(B302=CONFIG!$G$5,A301+1,A301)</f>
        <v/>
      </c>
      <c r="B302" s="4">
        <f>IF(B301=CONFIG!$G$6,CONFIG!$G$5,CONFIG!$G$6)</f>
        <v/>
      </c>
      <c r="C302" s="4" t="n"/>
      <c r="D302" s="4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>
        <f>IF(SUM(E302:N302)&gt;0,SUM(E302:N302),"")</f>
        <v/>
      </c>
      <c r="P302" s="4" t="n"/>
    </row>
    <row r="303">
      <c r="A303" s="12">
        <f>IF(B303=CONFIG!$G$5,A302+1,A302)</f>
        <v/>
      </c>
      <c r="B303" s="4">
        <f>IF(B302=CONFIG!$G$6,CONFIG!$G$5,CONFIG!$G$6)</f>
        <v/>
      </c>
      <c r="C303" s="4" t="n"/>
      <c r="D303" s="4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>
        <f>IF(SUM(E303:N303)&gt;0,SUM(E303:N303),"")</f>
        <v/>
      </c>
      <c r="P303" s="4" t="n"/>
    </row>
    <row r="304">
      <c r="A304" s="12">
        <f>IF(B304=CONFIG!$G$5,A303+1,A303)</f>
        <v/>
      </c>
      <c r="B304" s="4">
        <f>IF(B303=CONFIG!$G$6,CONFIG!$G$5,CONFIG!$G$6)</f>
        <v/>
      </c>
      <c r="C304" s="4" t="n"/>
      <c r="D304" s="4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>
        <f>IF(SUM(E304:N304)&gt;0,SUM(E304:N304),"")</f>
        <v/>
      </c>
      <c r="P304" s="4" t="n"/>
    </row>
    <row r="305">
      <c r="A305" s="12">
        <f>IF(B305=CONFIG!$G$5,A304+1,A304)</f>
        <v/>
      </c>
      <c r="B305" s="4">
        <f>IF(B304=CONFIG!$G$6,CONFIG!$G$5,CONFIG!$G$6)</f>
        <v/>
      </c>
      <c r="C305" s="4" t="n"/>
      <c r="D305" s="4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>
        <f>IF(SUM(E305:N305)&gt;0,SUM(E305:N305),"")</f>
        <v/>
      </c>
      <c r="P305" s="4" t="n"/>
    </row>
    <row r="306">
      <c r="A306" s="12">
        <f>IF(B306=CONFIG!$G$5,A305+1,A305)</f>
        <v/>
      </c>
      <c r="B306" s="4">
        <f>IF(B305=CONFIG!$G$6,CONFIG!$G$5,CONFIG!$G$6)</f>
        <v/>
      </c>
      <c r="C306" s="4" t="n"/>
      <c r="D306" s="4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>
        <f>IF(SUM(E306:N306)&gt;0,SUM(E306:N306),"")</f>
        <v/>
      </c>
      <c r="P306" s="4" t="n"/>
    </row>
    <row r="307">
      <c r="A307" s="12">
        <f>IF(B307=CONFIG!$G$5,A306+1,A306)</f>
        <v/>
      </c>
      <c r="B307" s="4">
        <f>IF(B306=CONFIG!$G$6,CONFIG!$G$5,CONFIG!$G$6)</f>
        <v/>
      </c>
      <c r="C307" s="4" t="n"/>
      <c r="D307" s="4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>
        <f>IF(SUM(E307:N307)&gt;0,SUM(E307:N307),"")</f>
        <v/>
      </c>
      <c r="P307" s="4" t="n"/>
    </row>
    <row r="308">
      <c r="A308" s="12">
        <f>IF(B308=CONFIG!$G$5,A307+1,A307)</f>
        <v/>
      </c>
      <c r="B308" s="4">
        <f>IF(B307=CONFIG!$G$6,CONFIG!$G$5,CONFIG!$G$6)</f>
        <v/>
      </c>
      <c r="C308" s="4" t="n"/>
      <c r="D308" s="4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>
        <f>IF(SUM(E308:N308)&gt;0,SUM(E308:N308),"")</f>
        <v/>
      </c>
      <c r="P308" s="4" t="n"/>
    </row>
    <row r="309">
      <c r="A309" s="12">
        <f>IF(B309=CONFIG!$G$5,A308+1,A308)</f>
        <v/>
      </c>
      <c r="B309" s="4">
        <f>IF(B308=CONFIG!$G$6,CONFIG!$G$5,CONFIG!$G$6)</f>
        <v/>
      </c>
      <c r="C309" s="4" t="n"/>
      <c r="D309" s="4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>
        <f>IF(SUM(E309:N309)&gt;0,SUM(E309:N309),"")</f>
        <v/>
      </c>
      <c r="P309" s="4" t="n"/>
    </row>
    <row r="310">
      <c r="A310" s="12">
        <f>IF(B310=CONFIG!$G$5,A309+1,A309)</f>
        <v/>
      </c>
      <c r="B310" s="4">
        <f>IF(B309=CONFIG!$G$6,CONFIG!$G$5,CONFIG!$G$6)</f>
        <v/>
      </c>
      <c r="C310" s="4" t="n"/>
      <c r="D310" s="4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>
        <f>IF(SUM(E310:N310)&gt;0,SUM(E310:N310),"")</f>
        <v/>
      </c>
      <c r="P310" s="4" t="n"/>
    </row>
    <row r="311">
      <c r="A311" s="12">
        <f>IF(B311=CONFIG!$G$5,A310+1,A310)</f>
        <v/>
      </c>
      <c r="B311" s="4">
        <f>IF(B310=CONFIG!$G$6,CONFIG!$G$5,CONFIG!$G$6)</f>
        <v/>
      </c>
      <c r="C311" s="4" t="n"/>
      <c r="D311" s="4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>
        <f>IF(SUM(E311:N311)&gt;0,SUM(E311:N311),"")</f>
        <v/>
      </c>
      <c r="P311" s="4" t="n"/>
    </row>
    <row r="312">
      <c r="A312" s="12">
        <f>IF(B312=CONFIG!$G$5,A311+1,A311)</f>
        <v/>
      </c>
      <c r="B312" s="4">
        <f>IF(B311=CONFIG!$G$6,CONFIG!$G$5,CONFIG!$G$6)</f>
        <v/>
      </c>
      <c r="C312" s="4" t="n"/>
      <c r="D312" s="4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>
        <f>IF(SUM(E312:N312)&gt;0,SUM(E312:N312),"")</f>
        <v/>
      </c>
      <c r="P312" s="4" t="n"/>
    </row>
    <row r="313">
      <c r="A313" s="12">
        <f>IF(B313=CONFIG!$G$5,A312+1,A312)</f>
        <v/>
      </c>
      <c r="B313" s="4">
        <f>IF(B312=CONFIG!$G$6,CONFIG!$G$5,CONFIG!$G$6)</f>
        <v/>
      </c>
      <c r="C313" s="4" t="n"/>
      <c r="D313" s="4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>
        <f>IF(SUM(E313:N313)&gt;0,SUM(E313:N313),"")</f>
        <v/>
      </c>
      <c r="P313" s="4" t="n"/>
    </row>
    <row r="314">
      <c r="A314" s="12">
        <f>IF(B314=CONFIG!$G$5,A313+1,A313)</f>
        <v/>
      </c>
      <c r="B314" s="4">
        <f>IF(B313=CONFIG!$G$6,CONFIG!$G$5,CONFIG!$G$6)</f>
        <v/>
      </c>
      <c r="C314" s="4" t="n"/>
      <c r="D314" s="4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>
        <f>IF(SUM(E314:N314)&gt;0,SUM(E314:N314),"")</f>
        <v/>
      </c>
      <c r="P314" s="4" t="n"/>
    </row>
    <row r="315">
      <c r="A315" s="12">
        <f>IF(B315=CONFIG!$G$5,A314+1,A314)</f>
        <v/>
      </c>
      <c r="B315" s="4">
        <f>IF(B314=CONFIG!$G$6,CONFIG!$G$5,CONFIG!$G$6)</f>
        <v/>
      </c>
      <c r="C315" s="4" t="n"/>
      <c r="D315" s="4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>
        <f>IF(SUM(E315:N315)&gt;0,SUM(E315:N315),"")</f>
        <v/>
      </c>
      <c r="P315" s="4" t="n"/>
    </row>
    <row r="316">
      <c r="A316" s="12">
        <f>IF(B316=CONFIG!$G$5,A315+1,A315)</f>
        <v/>
      </c>
      <c r="B316" s="4">
        <f>IF(B315=CONFIG!$G$6,CONFIG!$G$5,CONFIG!$G$6)</f>
        <v/>
      </c>
      <c r="C316" s="4" t="n"/>
      <c r="D316" s="4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>
        <f>IF(SUM(E316:N316)&gt;0,SUM(E316:N316),"")</f>
        <v/>
      </c>
      <c r="P316" s="4" t="n"/>
    </row>
    <row r="317">
      <c r="A317" s="12">
        <f>IF(B317=CONFIG!$G$5,A316+1,A316)</f>
        <v/>
      </c>
      <c r="B317" s="4">
        <f>IF(B316=CONFIG!$G$6,CONFIG!$G$5,CONFIG!$G$6)</f>
        <v/>
      </c>
      <c r="C317" s="4" t="n"/>
      <c r="D317" s="4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>
        <f>IF(SUM(E317:N317)&gt;0,SUM(E317:N317),"")</f>
        <v/>
      </c>
      <c r="P317" s="4" t="n"/>
    </row>
    <row r="318">
      <c r="A318" s="12">
        <f>IF(B318=CONFIG!$G$5,A317+1,A317)</f>
        <v/>
      </c>
      <c r="B318" s="4">
        <f>IF(B317=CONFIG!$G$6,CONFIG!$G$5,CONFIG!$G$6)</f>
        <v/>
      </c>
      <c r="C318" s="4" t="n"/>
      <c r="D318" s="4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>
        <f>IF(SUM(E318:N318)&gt;0,SUM(E318:N318),"")</f>
        <v/>
      </c>
      <c r="P318" s="4" t="n"/>
    </row>
    <row r="319">
      <c r="A319" s="12">
        <f>IF(B319=CONFIG!$G$5,A318+1,A318)</f>
        <v/>
      </c>
      <c r="B319" s="4">
        <f>IF(B318=CONFIG!$G$6,CONFIG!$G$5,CONFIG!$G$6)</f>
        <v/>
      </c>
      <c r="C319" s="4" t="n"/>
      <c r="D319" s="4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>
        <f>IF(SUM(E319:N319)&gt;0,SUM(E319:N319),"")</f>
        <v/>
      </c>
      <c r="P319" s="4" t="n"/>
    </row>
    <row r="320">
      <c r="A320" s="12">
        <f>IF(B320=CONFIG!$G$5,A319+1,A319)</f>
        <v/>
      </c>
      <c r="B320" s="4">
        <f>IF(B319=CONFIG!$G$6,CONFIG!$G$5,CONFIG!$G$6)</f>
        <v/>
      </c>
      <c r="C320" s="4" t="n"/>
      <c r="D320" s="4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>
        <f>IF(SUM(E320:N320)&gt;0,SUM(E320:N320),"")</f>
        <v/>
      </c>
      <c r="P320" s="4" t="n"/>
    </row>
    <row r="321">
      <c r="A321" s="12">
        <f>IF(B321=CONFIG!$G$5,A320+1,A320)</f>
        <v/>
      </c>
      <c r="B321" s="4">
        <f>IF(B320=CONFIG!$G$6,CONFIG!$G$5,CONFIG!$G$6)</f>
        <v/>
      </c>
      <c r="C321" s="4" t="n"/>
      <c r="D321" s="4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>
        <f>IF(SUM(E321:N321)&gt;0,SUM(E321:N321),"")</f>
        <v/>
      </c>
      <c r="P321" s="4" t="n"/>
    </row>
    <row r="322">
      <c r="A322" s="12">
        <f>IF(B322=CONFIG!$G$5,A321+1,A321)</f>
        <v/>
      </c>
      <c r="B322" s="4">
        <f>IF(B321=CONFIG!$G$6,CONFIG!$G$5,CONFIG!$G$6)</f>
        <v/>
      </c>
      <c r="C322" s="4" t="n"/>
      <c r="D322" s="4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>
        <f>IF(SUM(E322:N322)&gt;0,SUM(E322:N322),"")</f>
        <v/>
      </c>
      <c r="P322" s="4" t="n"/>
    </row>
    <row r="323">
      <c r="A323" s="12">
        <f>IF(B323=CONFIG!$G$5,A322+1,A322)</f>
        <v/>
      </c>
      <c r="B323" s="4">
        <f>IF(B322=CONFIG!$G$6,CONFIG!$G$5,CONFIG!$G$6)</f>
        <v/>
      </c>
      <c r="C323" s="4" t="n"/>
      <c r="D323" s="4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>
        <f>IF(SUM(E323:N323)&gt;0,SUM(E323:N323),"")</f>
        <v/>
      </c>
      <c r="P323" s="4" t="n"/>
    </row>
    <row r="324">
      <c r="A324" s="12">
        <f>IF(B324=CONFIG!$G$5,A323+1,A323)</f>
        <v/>
      </c>
      <c r="B324" s="4">
        <f>IF(B323=CONFIG!$G$6,CONFIG!$G$5,CONFIG!$G$6)</f>
        <v/>
      </c>
      <c r="C324" s="4" t="n"/>
      <c r="D324" s="4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>
        <f>IF(SUM(E324:N324)&gt;0,SUM(E324:N324),"")</f>
        <v/>
      </c>
      <c r="P324" s="4" t="n"/>
    </row>
    <row r="325">
      <c r="A325" s="12">
        <f>IF(B325=CONFIG!$G$5,A324+1,A324)</f>
        <v/>
      </c>
      <c r="B325" s="4">
        <f>IF(B324=CONFIG!$G$6,CONFIG!$G$5,CONFIG!$G$6)</f>
        <v/>
      </c>
      <c r="C325" s="4" t="n"/>
      <c r="D325" s="4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>
        <f>IF(SUM(E325:N325)&gt;0,SUM(E325:N325),"")</f>
        <v/>
      </c>
      <c r="P325" s="4" t="n"/>
    </row>
    <row r="326">
      <c r="A326" s="12">
        <f>IF(B326=CONFIG!$G$5,A325+1,A325)</f>
        <v/>
      </c>
      <c r="B326" s="4">
        <f>IF(B325=CONFIG!$G$6,CONFIG!$G$5,CONFIG!$G$6)</f>
        <v/>
      </c>
      <c r="C326" s="4" t="n"/>
      <c r="D326" s="4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>
        <f>IF(SUM(E326:N326)&gt;0,SUM(E326:N326),"")</f>
        <v/>
      </c>
      <c r="P326" s="4" t="n"/>
    </row>
    <row r="327">
      <c r="A327" s="12">
        <f>IF(B327=CONFIG!$G$5,A326+1,A326)</f>
        <v/>
      </c>
      <c r="B327" s="4">
        <f>IF(B326=CONFIG!$G$6,CONFIG!$G$5,CONFIG!$G$6)</f>
        <v/>
      </c>
      <c r="C327" s="4" t="n"/>
      <c r="D327" s="4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>
        <f>IF(SUM(E327:N327)&gt;0,SUM(E327:N327),"")</f>
        <v/>
      </c>
      <c r="P327" s="4" t="n"/>
    </row>
    <row r="328">
      <c r="A328" s="12">
        <f>IF(B328=CONFIG!$G$5,A327+1,A327)</f>
        <v/>
      </c>
      <c r="B328" s="4">
        <f>IF(B327=CONFIG!$G$6,CONFIG!$G$5,CONFIG!$G$6)</f>
        <v/>
      </c>
      <c r="C328" s="4" t="n"/>
      <c r="D328" s="4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>
        <f>IF(SUM(E328:N328)&gt;0,SUM(E328:N328),"")</f>
        <v/>
      </c>
      <c r="P328" s="4" t="n"/>
    </row>
    <row r="329">
      <c r="A329" s="12">
        <f>IF(B329=CONFIG!$G$5,A328+1,A328)</f>
        <v/>
      </c>
      <c r="B329" s="4">
        <f>IF(B328=CONFIG!$G$6,CONFIG!$G$5,CONFIG!$G$6)</f>
        <v/>
      </c>
      <c r="C329" s="4" t="n"/>
      <c r="D329" s="4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>
        <f>IF(SUM(E329:N329)&gt;0,SUM(E329:N329),"")</f>
        <v/>
      </c>
      <c r="P329" s="4" t="n"/>
    </row>
    <row r="330">
      <c r="A330" s="12">
        <f>IF(B330=CONFIG!$G$5,A329+1,A329)</f>
        <v/>
      </c>
      <c r="B330" s="4">
        <f>IF(B329=CONFIG!$G$6,CONFIG!$G$5,CONFIG!$G$6)</f>
        <v/>
      </c>
      <c r="C330" s="4" t="n"/>
      <c r="D330" s="4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>
        <f>IF(SUM(E330:N330)&gt;0,SUM(E330:N330),"")</f>
        <v/>
      </c>
      <c r="P330" s="4" t="n"/>
    </row>
    <row r="331">
      <c r="A331" s="12">
        <f>IF(B331=CONFIG!$G$5,A330+1,A330)</f>
        <v/>
      </c>
      <c r="B331" s="4">
        <f>IF(B330=CONFIG!$G$6,CONFIG!$G$5,CONFIG!$G$6)</f>
        <v/>
      </c>
      <c r="C331" s="4" t="n"/>
      <c r="D331" s="4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>
        <f>IF(SUM(E331:N331)&gt;0,SUM(E331:N331),"")</f>
        <v/>
      </c>
      <c r="P331" s="4" t="n"/>
    </row>
    <row r="332">
      <c r="A332" s="12">
        <f>IF(B332=CONFIG!$G$5,A331+1,A331)</f>
        <v/>
      </c>
      <c r="B332" s="4">
        <f>IF(B331=CONFIG!$G$6,CONFIG!$G$5,CONFIG!$G$6)</f>
        <v/>
      </c>
      <c r="C332" s="4" t="n"/>
      <c r="D332" s="4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>
        <f>IF(SUM(E332:N332)&gt;0,SUM(E332:N332),"")</f>
        <v/>
      </c>
      <c r="P332" s="4" t="n"/>
    </row>
    <row r="333">
      <c r="A333" s="12">
        <f>IF(B333=CONFIG!$G$5,A332+1,A332)</f>
        <v/>
      </c>
      <c r="B333" s="4">
        <f>IF(B332=CONFIG!$G$6,CONFIG!$G$5,CONFIG!$G$6)</f>
        <v/>
      </c>
      <c r="C333" s="4" t="n"/>
      <c r="D333" s="4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>
        <f>IF(SUM(E333:N333)&gt;0,SUM(E333:N333),"")</f>
        <v/>
      </c>
      <c r="P333" s="4" t="n"/>
    </row>
    <row r="334">
      <c r="A334" s="12">
        <f>IF(B334=CONFIG!$G$5,A333+1,A333)</f>
        <v/>
      </c>
      <c r="B334" s="4">
        <f>IF(B333=CONFIG!$G$6,CONFIG!$G$5,CONFIG!$G$6)</f>
        <v/>
      </c>
      <c r="C334" s="4" t="n"/>
      <c r="D334" s="4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>
        <f>IF(SUM(E334:N334)&gt;0,SUM(E334:N334),"")</f>
        <v/>
      </c>
      <c r="P334" s="4" t="n"/>
    </row>
    <row r="335">
      <c r="A335" s="12">
        <f>IF(B335=CONFIG!$G$5,A334+1,A334)</f>
        <v/>
      </c>
      <c r="B335" s="4">
        <f>IF(B334=CONFIG!$G$6,CONFIG!$G$5,CONFIG!$G$6)</f>
        <v/>
      </c>
      <c r="C335" s="4" t="n"/>
      <c r="D335" s="4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>
        <f>IF(SUM(E335:N335)&gt;0,SUM(E335:N335),"")</f>
        <v/>
      </c>
      <c r="P335" s="4" t="n"/>
    </row>
    <row r="336">
      <c r="A336" s="12">
        <f>IF(B336=CONFIG!$G$5,A335+1,A335)</f>
        <v/>
      </c>
      <c r="B336" s="4">
        <f>IF(B335=CONFIG!$G$6,CONFIG!$G$5,CONFIG!$G$6)</f>
        <v/>
      </c>
      <c r="C336" s="4" t="n"/>
      <c r="D336" s="4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>
        <f>IF(SUM(E336:N336)&gt;0,SUM(E336:N336),"")</f>
        <v/>
      </c>
      <c r="P336" s="4" t="n"/>
    </row>
    <row r="337">
      <c r="A337" s="12">
        <f>IF(B337=CONFIG!$G$5,A336+1,A336)</f>
        <v/>
      </c>
      <c r="B337" s="4">
        <f>IF(B336=CONFIG!$G$6,CONFIG!$G$5,CONFIG!$G$6)</f>
        <v/>
      </c>
      <c r="C337" s="4" t="n"/>
      <c r="D337" s="4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>
        <f>IF(SUM(E337:N337)&gt;0,SUM(E337:N337),"")</f>
        <v/>
      </c>
      <c r="P337" s="4" t="n"/>
    </row>
    <row r="338">
      <c r="A338" s="12">
        <f>IF(B338=CONFIG!$G$5,A337+1,A337)</f>
        <v/>
      </c>
      <c r="B338" s="4">
        <f>IF(B337=CONFIG!$G$6,CONFIG!$G$5,CONFIG!$G$6)</f>
        <v/>
      </c>
      <c r="C338" s="4" t="n"/>
      <c r="D338" s="4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>
        <f>IF(SUM(E338:N338)&gt;0,SUM(E338:N338),"")</f>
        <v/>
      </c>
      <c r="P338" s="4" t="n"/>
    </row>
    <row r="339">
      <c r="A339" s="12">
        <f>IF(B339=CONFIG!$G$5,A338+1,A338)</f>
        <v/>
      </c>
      <c r="B339" s="4">
        <f>IF(B338=CONFIG!$G$6,CONFIG!$G$5,CONFIG!$G$6)</f>
        <v/>
      </c>
      <c r="C339" s="4" t="n"/>
      <c r="D339" s="4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>
        <f>IF(SUM(E339:N339)&gt;0,SUM(E339:N339),"")</f>
        <v/>
      </c>
      <c r="P339" s="4" t="n"/>
    </row>
    <row r="340">
      <c r="A340" s="12">
        <f>IF(B340=CONFIG!$G$5,A339+1,A339)</f>
        <v/>
      </c>
      <c r="B340" s="4">
        <f>IF(B339=CONFIG!$G$6,CONFIG!$G$5,CONFIG!$G$6)</f>
        <v/>
      </c>
      <c r="C340" s="4" t="n"/>
      <c r="D340" s="4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>
        <f>IF(SUM(E340:N340)&gt;0,SUM(E340:N340),"")</f>
        <v/>
      </c>
      <c r="P340" s="4" t="n"/>
    </row>
    <row r="341">
      <c r="A341" s="12">
        <f>IF(B341=CONFIG!$G$5,A340+1,A340)</f>
        <v/>
      </c>
      <c r="B341" s="4">
        <f>IF(B340=CONFIG!$G$6,CONFIG!$G$5,CONFIG!$G$6)</f>
        <v/>
      </c>
      <c r="C341" s="4" t="n"/>
      <c r="D341" s="4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>
        <f>IF(SUM(E341:N341)&gt;0,SUM(E341:N341),"")</f>
        <v/>
      </c>
      <c r="P341" s="4" t="n"/>
    </row>
    <row r="342">
      <c r="A342" s="12">
        <f>IF(B342=CONFIG!$G$5,A341+1,A341)</f>
        <v/>
      </c>
      <c r="B342" s="4">
        <f>IF(B341=CONFIG!$G$6,CONFIG!$G$5,CONFIG!$G$6)</f>
        <v/>
      </c>
      <c r="C342" s="4" t="n"/>
      <c r="D342" s="4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>
        <f>IF(SUM(E342:N342)&gt;0,SUM(E342:N342),"")</f>
        <v/>
      </c>
      <c r="P342" s="4" t="n"/>
    </row>
    <row r="343">
      <c r="A343" s="12">
        <f>IF(B343=CONFIG!$G$5,A342+1,A342)</f>
        <v/>
      </c>
      <c r="B343" s="4">
        <f>IF(B342=CONFIG!$G$6,CONFIG!$G$5,CONFIG!$G$6)</f>
        <v/>
      </c>
      <c r="C343" s="4" t="n"/>
      <c r="D343" s="4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>
        <f>IF(SUM(E343:N343)&gt;0,SUM(E343:N343),"")</f>
        <v/>
      </c>
      <c r="P343" s="4" t="n"/>
    </row>
    <row r="344">
      <c r="A344" s="12">
        <f>IF(B344=CONFIG!$G$5,A343+1,A343)</f>
        <v/>
      </c>
      <c r="B344" s="4">
        <f>IF(B343=CONFIG!$G$6,CONFIG!$G$5,CONFIG!$G$6)</f>
        <v/>
      </c>
      <c r="C344" s="4" t="n"/>
      <c r="D344" s="4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>
        <f>IF(SUM(E344:N344)&gt;0,SUM(E344:N344),"")</f>
        <v/>
      </c>
      <c r="P344" s="4" t="n"/>
    </row>
    <row r="345">
      <c r="A345" s="12">
        <f>IF(B345=CONFIG!$G$5,A344+1,A344)</f>
        <v/>
      </c>
      <c r="B345" s="4">
        <f>IF(B344=CONFIG!$G$6,CONFIG!$G$5,CONFIG!$G$6)</f>
        <v/>
      </c>
      <c r="C345" s="4" t="n"/>
      <c r="D345" s="4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>
        <f>IF(SUM(E345:N345)&gt;0,SUM(E345:N345),"")</f>
        <v/>
      </c>
      <c r="P345" s="4" t="n"/>
    </row>
    <row r="346">
      <c r="A346" s="12">
        <f>IF(B346=CONFIG!$G$5,A345+1,A345)</f>
        <v/>
      </c>
      <c r="B346" s="4">
        <f>IF(B345=CONFIG!$G$6,CONFIG!$G$5,CONFIG!$G$6)</f>
        <v/>
      </c>
      <c r="C346" s="4" t="n"/>
      <c r="D346" s="4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>
        <f>IF(SUM(E346:N346)&gt;0,SUM(E346:N346),"")</f>
        <v/>
      </c>
      <c r="P346" s="4" t="n"/>
    </row>
    <row r="347">
      <c r="A347" s="12">
        <f>IF(B347=CONFIG!$G$5,A346+1,A346)</f>
        <v/>
      </c>
      <c r="B347" s="4">
        <f>IF(B346=CONFIG!$G$6,CONFIG!$G$5,CONFIG!$G$6)</f>
        <v/>
      </c>
      <c r="C347" s="4" t="n"/>
      <c r="D347" s="4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>
        <f>IF(SUM(E347:N347)&gt;0,SUM(E347:N347),"")</f>
        <v/>
      </c>
      <c r="P347" s="4" t="n"/>
    </row>
    <row r="348">
      <c r="A348" s="12">
        <f>IF(B348=CONFIG!$G$5,A347+1,A347)</f>
        <v/>
      </c>
      <c r="B348" s="4">
        <f>IF(B347=CONFIG!$G$6,CONFIG!$G$5,CONFIG!$G$6)</f>
        <v/>
      </c>
      <c r="C348" s="4" t="n"/>
      <c r="D348" s="4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>
        <f>IF(SUM(E348:N348)&gt;0,SUM(E348:N348),"")</f>
        <v/>
      </c>
      <c r="P348" s="4" t="n"/>
    </row>
    <row r="349">
      <c r="A349" s="12">
        <f>IF(B349=CONFIG!$G$5,A348+1,A348)</f>
        <v/>
      </c>
      <c r="B349" s="4">
        <f>IF(B348=CONFIG!$G$6,CONFIG!$G$5,CONFIG!$G$6)</f>
        <v/>
      </c>
      <c r="C349" s="4" t="n"/>
      <c r="D349" s="4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>
        <f>IF(SUM(E349:N349)&gt;0,SUM(E349:N349),"")</f>
        <v/>
      </c>
      <c r="P349" s="4" t="n"/>
    </row>
    <row r="350">
      <c r="A350" s="12">
        <f>IF(B350=CONFIG!$G$5,A349+1,A349)</f>
        <v/>
      </c>
      <c r="B350" s="4">
        <f>IF(B349=CONFIG!$G$6,CONFIG!$G$5,CONFIG!$G$6)</f>
        <v/>
      </c>
      <c r="C350" s="4" t="n"/>
      <c r="D350" s="4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>
        <f>IF(SUM(E350:N350)&gt;0,SUM(E350:N350),"")</f>
        <v/>
      </c>
      <c r="P350" s="4" t="n"/>
    </row>
    <row r="351">
      <c r="A351" s="12">
        <f>IF(B351=CONFIG!$G$5,A350+1,A350)</f>
        <v/>
      </c>
      <c r="B351" s="4">
        <f>IF(B350=CONFIG!$G$6,CONFIG!$G$5,CONFIG!$G$6)</f>
        <v/>
      </c>
      <c r="C351" s="4" t="n"/>
      <c r="D351" s="4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>
        <f>IF(SUM(E351:N351)&gt;0,SUM(E351:N351),"")</f>
        <v/>
      </c>
      <c r="P351" s="4" t="n"/>
    </row>
    <row r="352">
      <c r="A352" s="12">
        <f>IF(B352=CONFIG!$G$5,A351+1,A351)</f>
        <v/>
      </c>
      <c r="B352" s="4">
        <f>IF(B351=CONFIG!$G$6,CONFIG!$G$5,CONFIG!$G$6)</f>
        <v/>
      </c>
      <c r="C352" s="4" t="n"/>
      <c r="D352" s="4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>
        <f>IF(SUM(E352:N352)&gt;0,SUM(E352:N352),"")</f>
        <v/>
      </c>
      <c r="P352" s="4" t="n"/>
    </row>
    <row r="353">
      <c r="A353" s="12">
        <f>IF(B353=CONFIG!$G$5,A352+1,A352)</f>
        <v/>
      </c>
      <c r="B353" s="4">
        <f>IF(B352=CONFIG!$G$6,CONFIG!$G$5,CONFIG!$G$6)</f>
        <v/>
      </c>
      <c r="C353" s="4" t="n"/>
      <c r="D353" s="4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>
        <f>IF(SUM(E353:N353)&gt;0,SUM(E353:N353),"")</f>
        <v/>
      </c>
      <c r="P353" s="4" t="n"/>
    </row>
    <row r="354">
      <c r="A354" s="12">
        <f>IF(B354=CONFIG!$G$5,A353+1,A353)</f>
        <v/>
      </c>
      <c r="B354" s="4">
        <f>IF(B353=CONFIG!$G$6,CONFIG!$G$5,CONFIG!$G$6)</f>
        <v/>
      </c>
      <c r="C354" s="4" t="n"/>
      <c r="D354" s="4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>
        <f>IF(SUM(E354:N354)&gt;0,SUM(E354:N354),"")</f>
        <v/>
      </c>
      <c r="P354" s="4" t="n"/>
    </row>
    <row r="355">
      <c r="A355" s="12">
        <f>IF(B355=CONFIG!$G$5,A354+1,A354)</f>
        <v/>
      </c>
      <c r="B355" s="4">
        <f>IF(B354=CONFIG!$G$6,CONFIG!$G$5,CONFIG!$G$6)</f>
        <v/>
      </c>
      <c r="C355" s="4" t="n"/>
      <c r="D355" s="4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>
        <f>IF(SUM(E355:N355)&gt;0,SUM(E355:N355),"")</f>
        <v/>
      </c>
      <c r="P355" s="4" t="n"/>
    </row>
    <row r="356">
      <c r="A356" s="12">
        <f>IF(B356=CONFIG!$G$5,A355+1,A355)</f>
        <v/>
      </c>
      <c r="B356" s="4">
        <f>IF(B355=CONFIG!$G$6,CONFIG!$G$5,CONFIG!$G$6)</f>
        <v/>
      </c>
      <c r="C356" s="4" t="n"/>
      <c r="D356" s="4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>
        <f>IF(SUM(E356:N356)&gt;0,SUM(E356:N356),"")</f>
        <v/>
      </c>
      <c r="P356" s="4" t="n"/>
    </row>
    <row r="357">
      <c r="A357" s="12">
        <f>IF(B357=CONFIG!$G$5,A356+1,A356)</f>
        <v/>
      </c>
      <c r="B357" s="4">
        <f>IF(B356=CONFIG!$G$6,CONFIG!$G$5,CONFIG!$G$6)</f>
        <v/>
      </c>
      <c r="C357" s="4" t="n"/>
      <c r="D357" s="4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>
        <f>IF(SUM(E357:N357)&gt;0,SUM(E357:N357),"")</f>
        <v/>
      </c>
      <c r="P357" s="4" t="n"/>
    </row>
    <row r="358">
      <c r="A358" s="12">
        <f>IF(B358=CONFIG!$G$5,A357+1,A357)</f>
        <v/>
      </c>
      <c r="B358" s="4">
        <f>IF(B357=CONFIG!$G$6,CONFIG!$G$5,CONFIG!$G$6)</f>
        <v/>
      </c>
      <c r="C358" s="4" t="n"/>
      <c r="D358" s="4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>
        <f>IF(SUM(E358:N358)&gt;0,SUM(E358:N358),"")</f>
        <v/>
      </c>
      <c r="P358" s="4" t="n"/>
    </row>
    <row r="359">
      <c r="A359" s="12">
        <f>IF(B359=CONFIG!$G$5,A358+1,A358)</f>
        <v/>
      </c>
      <c r="B359" s="4">
        <f>IF(B358=CONFIG!$G$6,CONFIG!$G$5,CONFIG!$G$6)</f>
        <v/>
      </c>
      <c r="C359" s="4" t="n"/>
      <c r="D359" s="4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>
        <f>IF(SUM(E359:N359)&gt;0,SUM(E359:N359),"")</f>
        <v/>
      </c>
      <c r="P359" s="4" t="n"/>
    </row>
    <row r="360">
      <c r="A360" s="12">
        <f>IF(B360=CONFIG!$G$5,A359+1,A359)</f>
        <v/>
      </c>
      <c r="B360" s="4">
        <f>IF(B359=CONFIG!$G$6,CONFIG!$G$5,CONFIG!$G$6)</f>
        <v/>
      </c>
      <c r="C360" s="4" t="n"/>
      <c r="D360" s="4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>
        <f>IF(SUM(E360:N360)&gt;0,SUM(E360:N360),"")</f>
        <v/>
      </c>
      <c r="P360" s="4" t="n"/>
    </row>
    <row r="361">
      <c r="A361" s="12">
        <f>IF(B361=CONFIG!$G$5,A360+1,A360)</f>
        <v/>
      </c>
      <c r="B361" s="4">
        <f>IF(B360=CONFIG!$G$6,CONFIG!$G$5,CONFIG!$G$6)</f>
        <v/>
      </c>
      <c r="C361" s="4" t="n"/>
      <c r="D361" s="4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>
        <f>IF(SUM(E361:N361)&gt;0,SUM(E361:N361),"")</f>
        <v/>
      </c>
      <c r="P361" s="4" t="n"/>
    </row>
    <row r="362">
      <c r="A362" s="12">
        <f>IF(B362=CONFIG!$G$5,A361+1,A361)</f>
        <v/>
      </c>
      <c r="B362" s="4">
        <f>IF(B361=CONFIG!$G$6,CONFIG!$G$5,CONFIG!$G$6)</f>
        <v/>
      </c>
      <c r="C362" s="4" t="n"/>
      <c r="D362" s="4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>
        <f>IF(SUM(E362:N362)&gt;0,SUM(E362:N362),"")</f>
        <v/>
      </c>
      <c r="P362" s="4" t="n"/>
    </row>
    <row r="363">
      <c r="A363" s="12">
        <f>IF(B363=CONFIG!$G$5,A362+1,A362)</f>
        <v/>
      </c>
      <c r="B363" s="4">
        <f>IF(B362=CONFIG!$G$6,CONFIG!$G$5,CONFIG!$G$6)</f>
        <v/>
      </c>
      <c r="C363" s="4" t="n"/>
      <c r="D363" s="4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>
        <f>IF(SUM(E363:N363)&gt;0,SUM(E363:N363),"")</f>
        <v/>
      </c>
      <c r="P363" s="4" t="n"/>
    </row>
    <row r="364">
      <c r="A364" s="12">
        <f>IF(B364=CONFIG!$G$5,A363+1,A363)</f>
        <v/>
      </c>
      <c r="B364" s="4">
        <f>IF(B363=CONFIG!$G$6,CONFIG!$G$5,CONFIG!$G$6)</f>
        <v/>
      </c>
      <c r="C364" s="4" t="n"/>
      <c r="D364" s="4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>
        <f>IF(SUM(E364:N364)&gt;0,SUM(E364:N364),"")</f>
        <v/>
      </c>
      <c r="P364" s="4" t="n"/>
    </row>
    <row r="365">
      <c r="A365" s="12">
        <f>IF(B365=CONFIG!$G$5,A364+1,A364)</f>
        <v/>
      </c>
      <c r="B365" s="4">
        <f>IF(B364=CONFIG!$G$6,CONFIG!$G$5,CONFIG!$G$6)</f>
        <v/>
      </c>
      <c r="C365" s="4" t="n"/>
      <c r="D365" s="4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>
        <f>IF(SUM(E365:N365)&gt;0,SUM(E365:N365),"")</f>
        <v/>
      </c>
      <c r="P365" s="4" t="n"/>
    </row>
    <row r="366">
      <c r="A366" s="12">
        <f>IF(B366=CONFIG!$G$5,A365+1,A365)</f>
        <v/>
      </c>
      <c r="B366" s="4">
        <f>IF(B365=CONFIG!$G$6,CONFIG!$G$5,CONFIG!$G$6)</f>
        <v/>
      </c>
      <c r="C366" s="4" t="n"/>
      <c r="D366" s="4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>
        <f>IF(SUM(E366:N366)&gt;0,SUM(E366:N366),"")</f>
        <v/>
      </c>
      <c r="P366" s="4" t="n"/>
    </row>
    <row r="367">
      <c r="A367" s="12">
        <f>IF(B367=CONFIG!$G$5,A366+1,A366)</f>
        <v/>
      </c>
      <c r="B367" s="4">
        <f>IF(B366=CONFIG!$G$6,CONFIG!$G$5,CONFIG!$G$6)</f>
        <v/>
      </c>
      <c r="C367" s="4" t="n"/>
      <c r="D367" s="4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>
        <f>IF(SUM(E367:N367)&gt;0,SUM(E367:N367),"")</f>
        <v/>
      </c>
      <c r="P367" s="4" t="n"/>
    </row>
    <row r="368">
      <c r="A368" s="12">
        <f>IF(B368=CONFIG!$G$5,A367+1,A367)</f>
        <v/>
      </c>
      <c r="B368" s="4">
        <f>IF(B367=CONFIG!$G$6,CONFIG!$G$5,CONFIG!$G$6)</f>
        <v/>
      </c>
      <c r="C368" s="4" t="n"/>
      <c r="D368" s="4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>
        <f>IF(SUM(E368:N368)&gt;0,SUM(E368:N368),"")</f>
        <v/>
      </c>
      <c r="P368" s="4" t="n"/>
    </row>
    <row r="369">
      <c r="A369" s="12">
        <f>IF(B369=CONFIG!$G$5,A368+1,A368)</f>
        <v/>
      </c>
      <c r="B369" s="4">
        <f>IF(B368=CONFIG!$G$6,CONFIG!$G$5,CONFIG!$G$6)</f>
        <v/>
      </c>
      <c r="C369" s="4" t="n"/>
      <c r="D369" s="4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>
        <f>IF(SUM(E369:N369)&gt;0,SUM(E369:N369),"")</f>
        <v/>
      </c>
      <c r="P369" s="4" t="n"/>
    </row>
    <row r="370">
      <c r="A370" s="12">
        <f>IF(B370=CONFIG!$G$5,A369+1,A369)</f>
        <v/>
      </c>
      <c r="B370" s="4">
        <f>IF(B369=CONFIG!$G$6,CONFIG!$G$5,CONFIG!$G$6)</f>
        <v/>
      </c>
      <c r="C370" s="4" t="n"/>
      <c r="D370" s="4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>
        <f>IF(SUM(E370:N370)&gt;0,SUM(E370:N370),"")</f>
        <v/>
      </c>
      <c r="P370" s="4" t="n"/>
    </row>
    <row r="371">
      <c r="A371" s="12">
        <f>IF(B371=CONFIG!$G$5,A370+1,A370)</f>
        <v/>
      </c>
      <c r="B371" s="4">
        <f>IF(B370=CONFIG!$G$6,CONFIG!$G$5,CONFIG!$G$6)</f>
        <v/>
      </c>
      <c r="C371" s="4" t="n"/>
      <c r="D371" s="4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>
        <f>IF(SUM(E371:N371)&gt;0,SUM(E371:N371),"")</f>
        <v/>
      </c>
      <c r="P371" s="4" t="n"/>
    </row>
    <row r="372">
      <c r="A372" s="12">
        <f>IF(B372=CONFIG!$G$5,A371+1,A371)</f>
        <v/>
      </c>
      <c r="B372" s="4">
        <f>IF(B371=CONFIG!$G$6,CONFIG!$G$5,CONFIG!$G$6)</f>
        <v/>
      </c>
      <c r="C372" s="4" t="n"/>
      <c r="D372" s="4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>
        <f>IF(SUM(E372:N372)&gt;0,SUM(E372:N372),"")</f>
        <v/>
      </c>
      <c r="P372" s="4" t="n"/>
    </row>
    <row r="373">
      <c r="A373" s="12">
        <f>IF(B373=CONFIG!$G$5,A372+1,A372)</f>
        <v/>
      </c>
      <c r="B373" s="4">
        <f>IF(B372=CONFIG!$G$6,CONFIG!$G$5,CONFIG!$G$6)</f>
        <v/>
      </c>
      <c r="C373" s="4" t="n"/>
      <c r="D373" s="4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>
        <f>IF(SUM(E373:N373)&gt;0,SUM(E373:N373),"")</f>
        <v/>
      </c>
      <c r="P373" s="4" t="n"/>
    </row>
    <row r="374">
      <c r="A374" s="12">
        <f>IF(B374=CONFIG!$G$5,A373+1,A373)</f>
        <v/>
      </c>
      <c r="B374" s="4">
        <f>IF(B373=CONFIG!$G$6,CONFIG!$G$5,CONFIG!$G$6)</f>
        <v/>
      </c>
      <c r="C374" s="4" t="n"/>
      <c r="D374" s="4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>
        <f>IF(SUM(E374:N374)&gt;0,SUM(E374:N374),"")</f>
        <v/>
      </c>
      <c r="P374" s="4" t="n"/>
    </row>
    <row r="375">
      <c r="A375" s="12">
        <f>IF(B375=CONFIG!$G$5,A374+1,A374)</f>
        <v/>
      </c>
      <c r="B375" s="4">
        <f>IF(B374=CONFIG!$G$6,CONFIG!$G$5,CONFIG!$G$6)</f>
        <v/>
      </c>
      <c r="C375" s="4" t="n"/>
      <c r="D375" s="4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>
        <f>IF(SUM(E375:N375)&gt;0,SUM(E375:N375),"")</f>
        <v/>
      </c>
      <c r="P375" s="4" t="n"/>
    </row>
    <row r="376">
      <c r="A376" s="12">
        <f>IF(B376=CONFIG!$G$5,A375+1,A375)</f>
        <v/>
      </c>
      <c r="B376" s="4">
        <f>IF(B375=CONFIG!$G$6,CONFIG!$G$5,CONFIG!$G$6)</f>
        <v/>
      </c>
      <c r="C376" s="4" t="n"/>
      <c r="D376" s="4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>
        <f>IF(SUM(E376:N376)&gt;0,SUM(E376:N376),"")</f>
        <v/>
      </c>
      <c r="P376" s="4" t="n"/>
    </row>
    <row r="377">
      <c r="A377" s="12">
        <f>IF(B377=CONFIG!$G$5,A376+1,A376)</f>
        <v/>
      </c>
      <c r="B377" s="4">
        <f>IF(B376=CONFIG!$G$6,CONFIG!$G$5,CONFIG!$G$6)</f>
        <v/>
      </c>
      <c r="C377" s="4" t="n"/>
      <c r="D377" s="4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>
        <f>IF(SUM(E377:N377)&gt;0,SUM(E377:N377),"")</f>
        <v/>
      </c>
      <c r="P377" s="4" t="n"/>
    </row>
    <row r="378">
      <c r="A378" s="12">
        <f>IF(B378=CONFIG!$G$5,A377+1,A377)</f>
        <v/>
      </c>
      <c r="B378" s="4">
        <f>IF(B377=CONFIG!$G$6,CONFIG!$G$5,CONFIG!$G$6)</f>
        <v/>
      </c>
      <c r="C378" s="4" t="n"/>
      <c r="D378" s="4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>
        <f>IF(SUM(E378:N378)&gt;0,SUM(E378:N378),"")</f>
        <v/>
      </c>
      <c r="P378" s="4" t="n"/>
    </row>
    <row r="379">
      <c r="A379" s="12">
        <f>IF(B379=CONFIG!$G$5,A378+1,A378)</f>
        <v/>
      </c>
      <c r="B379" s="4">
        <f>IF(B378=CONFIG!$G$6,CONFIG!$G$5,CONFIG!$G$6)</f>
        <v/>
      </c>
      <c r="C379" s="4" t="n"/>
      <c r="D379" s="4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>
        <f>IF(SUM(E379:N379)&gt;0,SUM(E379:N379),"")</f>
        <v/>
      </c>
      <c r="P379" s="4" t="n"/>
    </row>
    <row r="380">
      <c r="A380" s="12">
        <f>IF(B380=CONFIG!$G$5,A379+1,A379)</f>
        <v/>
      </c>
      <c r="B380" s="4">
        <f>IF(B379=CONFIG!$G$6,CONFIG!$G$5,CONFIG!$G$6)</f>
        <v/>
      </c>
      <c r="C380" s="4" t="n"/>
      <c r="D380" s="4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>
        <f>IF(SUM(E380:N380)&gt;0,SUM(E380:N380),"")</f>
        <v/>
      </c>
      <c r="P380" s="4" t="n"/>
    </row>
    <row r="381">
      <c r="A381" s="12">
        <f>IF(B381=CONFIG!$G$5,A380+1,A380)</f>
        <v/>
      </c>
      <c r="B381" s="4">
        <f>IF(B380=CONFIG!$G$6,CONFIG!$G$5,CONFIG!$G$6)</f>
        <v/>
      </c>
      <c r="C381" s="4" t="n"/>
      <c r="D381" s="4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>
        <f>IF(SUM(E381:N381)&gt;0,SUM(E381:N381),"")</f>
        <v/>
      </c>
      <c r="P381" s="4" t="n"/>
    </row>
    <row r="382">
      <c r="A382" s="12">
        <f>IF(B382=CONFIG!$G$5,A381+1,A381)</f>
        <v/>
      </c>
      <c r="B382" s="4">
        <f>IF(B381=CONFIG!$G$6,CONFIG!$G$5,CONFIG!$G$6)</f>
        <v/>
      </c>
      <c r="C382" s="4" t="n"/>
      <c r="D382" s="4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>
        <f>IF(SUM(E382:N382)&gt;0,SUM(E382:N382),"")</f>
        <v/>
      </c>
      <c r="P382" s="4" t="n"/>
    </row>
    <row r="383">
      <c r="A383" s="12">
        <f>IF(B383=CONFIG!$G$5,A382+1,A382)</f>
        <v/>
      </c>
      <c r="B383" s="4">
        <f>IF(B382=CONFIG!$G$6,CONFIG!$G$5,CONFIG!$G$6)</f>
        <v/>
      </c>
      <c r="C383" s="4" t="n"/>
      <c r="D383" s="4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>
        <f>IF(SUM(E383:N383)&gt;0,SUM(E383:N383),"")</f>
        <v/>
      </c>
      <c r="P383" s="4" t="n"/>
    </row>
    <row r="384">
      <c r="A384" s="12">
        <f>IF(B384=CONFIG!$G$5,A383+1,A383)</f>
        <v/>
      </c>
      <c r="B384" s="4">
        <f>IF(B383=CONFIG!$G$6,CONFIG!$G$5,CONFIG!$G$6)</f>
        <v/>
      </c>
      <c r="C384" s="4" t="n"/>
      <c r="D384" s="4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>
        <f>IF(SUM(E384:N384)&gt;0,SUM(E384:N384),"")</f>
        <v/>
      </c>
      <c r="P384" s="4" t="n"/>
    </row>
    <row r="385">
      <c r="A385" s="12">
        <f>IF(B385=CONFIG!$G$5,A384+1,A384)</f>
        <v/>
      </c>
      <c r="B385" s="4">
        <f>IF(B384=CONFIG!$G$6,CONFIG!$G$5,CONFIG!$G$6)</f>
        <v/>
      </c>
      <c r="C385" s="4" t="n"/>
      <c r="D385" s="4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>
        <f>IF(SUM(E385:N385)&gt;0,SUM(E385:N385),"")</f>
        <v/>
      </c>
      <c r="P385" s="4" t="n"/>
    </row>
    <row r="386">
      <c r="A386" s="12">
        <f>IF(B386=CONFIG!$G$5,A385+1,A385)</f>
        <v/>
      </c>
      <c r="B386" s="4">
        <f>IF(B385=CONFIG!$G$6,CONFIG!$G$5,CONFIG!$G$6)</f>
        <v/>
      </c>
      <c r="C386" s="4" t="n"/>
      <c r="D386" s="4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>
        <f>IF(SUM(E386:N386)&gt;0,SUM(E386:N386),"")</f>
        <v/>
      </c>
      <c r="P386" s="4" t="n"/>
    </row>
    <row r="387">
      <c r="A387" s="12">
        <f>IF(B387=CONFIG!$G$5,A386+1,A386)</f>
        <v/>
      </c>
      <c r="B387" s="4">
        <f>IF(B386=CONFIG!$G$6,CONFIG!$G$5,CONFIG!$G$6)</f>
        <v/>
      </c>
      <c r="C387" s="4" t="n"/>
      <c r="D387" s="4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>
        <f>IF(SUM(E387:N387)&gt;0,SUM(E387:N387),"")</f>
        <v/>
      </c>
      <c r="P387" s="4" t="n"/>
    </row>
    <row r="388">
      <c r="A388" s="12">
        <f>IF(B388=CONFIG!$G$5,A387+1,A387)</f>
        <v/>
      </c>
      <c r="B388" s="4">
        <f>IF(B387=CONFIG!$G$6,CONFIG!$G$5,CONFIG!$G$6)</f>
        <v/>
      </c>
      <c r="C388" s="4" t="n"/>
      <c r="D388" s="4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>
        <f>IF(SUM(E388:N388)&gt;0,SUM(E388:N388),"")</f>
        <v/>
      </c>
      <c r="P388" s="4" t="n"/>
    </row>
    <row r="389">
      <c r="A389" s="12">
        <f>IF(B389=CONFIG!$G$5,A388+1,A388)</f>
        <v/>
      </c>
      <c r="B389" s="4">
        <f>IF(B388=CONFIG!$G$6,CONFIG!$G$5,CONFIG!$G$6)</f>
        <v/>
      </c>
      <c r="C389" s="4" t="n"/>
      <c r="D389" s="4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>
        <f>IF(SUM(E389:N389)&gt;0,SUM(E389:N389),"")</f>
        <v/>
      </c>
      <c r="P389" s="4" t="n"/>
    </row>
    <row r="390">
      <c r="A390" s="12">
        <f>IF(B390=CONFIG!$G$5,A389+1,A389)</f>
        <v/>
      </c>
      <c r="B390" s="4">
        <f>IF(B389=CONFIG!$G$6,CONFIG!$G$5,CONFIG!$G$6)</f>
        <v/>
      </c>
      <c r="C390" s="4" t="n"/>
      <c r="D390" s="4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>
        <f>IF(SUM(E390:N390)&gt;0,SUM(E390:N390),"")</f>
        <v/>
      </c>
      <c r="P390" s="4" t="n"/>
    </row>
    <row r="391">
      <c r="A391" s="12">
        <f>IF(B391=CONFIG!$G$5,A390+1,A390)</f>
        <v/>
      </c>
      <c r="B391" s="4">
        <f>IF(B390=CONFIG!$G$6,CONFIG!$G$5,CONFIG!$G$6)</f>
        <v/>
      </c>
      <c r="C391" s="4" t="n"/>
      <c r="D391" s="4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>
        <f>IF(SUM(E391:N391)&gt;0,SUM(E391:N391),"")</f>
        <v/>
      </c>
      <c r="P391" s="4" t="n"/>
    </row>
    <row r="392">
      <c r="A392" s="12">
        <f>IF(B392=CONFIG!$G$5,A391+1,A391)</f>
        <v/>
      </c>
      <c r="B392" s="4">
        <f>IF(B391=CONFIG!$G$6,CONFIG!$G$5,CONFIG!$G$6)</f>
        <v/>
      </c>
      <c r="C392" s="4" t="n"/>
      <c r="D392" s="4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>
        <f>IF(SUM(E392:N392)&gt;0,SUM(E392:N392),"")</f>
        <v/>
      </c>
      <c r="P392" s="4" t="n"/>
    </row>
    <row r="393">
      <c r="A393" s="12">
        <f>IF(B393=CONFIG!$G$5,A392+1,A392)</f>
        <v/>
      </c>
      <c r="B393" s="4">
        <f>IF(B392=CONFIG!$G$6,CONFIG!$G$5,CONFIG!$G$6)</f>
        <v/>
      </c>
      <c r="C393" s="4" t="n"/>
      <c r="D393" s="4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>
        <f>IF(SUM(E393:N393)&gt;0,SUM(E393:N393),"")</f>
        <v/>
      </c>
      <c r="P393" s="4" t="n"/>
    </row>
    <row r="394">
      <c r="A394" s="12">
        <f>IF(B394=CONFIG!$G$5,A393+1,A393)</f>
        <v/>
      </c>
      <c r="B394" s="4">
        <f>IF(B393=CONFIG!$G$6,CONFIG!$G$5,CONFIG!$G$6)</f>
        <v/>
      </c>
      <c r="C394" s="4" t="n"/>
      <c r="D394" s="4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>
        <f>IF(SUM(E394:N394)&gt;0,SUM(E394:N394),"")</f>
        <v/>
      </c>
      <c r="P394" s="4" t="n"/>
    </row>
    <row r="395">
      <c r="A395" s="12">
        <f>IF(B395=CONFIG!$G$5,A394+1,A394)</f>
        <v/>
      </c>
      <c r="B395" s="4">
        <f>IF(B394=CONFIG!$G$6,CONFIG!$G$5,CONFIG!$G$6)</f>
        <v/>
      </c>
      <c r="C395" s="4" t="n"/>
      <c r="D395" s="4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>
        <f>IF(SUM(E395:N395)&gt;0,SUM(E395:N395),"")</f>
        <v/>
      </c>
      <c r="P395" s="4" t="n"/>
    </row>
    <row r="396">
      <c r="A396" s="12">
        <f>IF(B396=CONFIG!$G$5,A395+1,A395)</f>
        <v/>
      </c>
      <c r="B396" s="4">
        <f>IF(B395=CONFIG!$G$6,CONFIG!$G$5,CONFIG!$G$6)</f>
        <v/>
      </c>
      <c r="C396" s="4" t="n"/>
      <c r="D396" s="4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>
        <f>IF(SUM(E396:N396)&gt;0,SUM(E396:N396),"")</f>
        <v/>
      </c>
      <c r="P396" s="4" t="n"/>
    </row>
    <row r="397">
      <c r="A397" s="12">
        <f>IF(B397=CONFIG!$G$5,A396+1,A396)</f>
        <v/>
      </c>
      <c r="B397" s="4">
        <f>IF(B396=CONFIG!$G$6,CONFIG!$G$5,CONFIG!$G$6)</f>
        <v/>
      </c>
      <c r="C397" s="4" t="n"/>
      <c r="D397" s="4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>
        <f>IF(SUM(E397:N397)&gt;0,SUM(E397:N397),"")</f>
        <v/>
      </c>
      <c r="P397" s="4" t="n"/>
    </row>
    <row r="398">
      <c r="A398" s="12">
        <f>IF(B398=CONFIG!$G$5,A397+1,A397)</f>
        <v/>
      </c>
      <c r="B398" s="4">
        <f>IF(B397=CONFIG!$G$6,CONFIG!$G$5,CONFIG!$G$6)</f>
        <v/>
      </c>
      <c r="C398" s="4" t="n"/>
      <c r="D398" s="4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>
        <f>IF(SUM(E398:N398)&gt;0,SUM(E398:N398),"")</f>
        <v/>
      </c>
      <c r="P398" s="4" t="n"/>
    </row>
    <row r="399">
      <c r="A399" s="12">
        <f>IF(B399=CONFIG!$G$5,A398+1,A398)</f>
        <v/>
      </c>
      <c r="B399" s="4">
        <f>IF(B398=CONFIG!$G$6,CONFIG!$G$5,CONFIG!$G$6)</f>
        <v/>
      </c>
      <c r="C399" s="4" t="n"/>
      <c r="D399" s="4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>
        <f>IF(SUM(E399:N399)&gt;0,SUM(E399:N399),"")</f>
        <v/>
      </c>
      <c r="P399" s="4" t="n"/>
    </row>
    <row r="400">
      <c r="A400" s="12">
        <f>IF(B400=CONFIG!$G$5,A399+1,A399)</f>
        <v/>
      </c>
      <c r="B400" s="4">
        <f>IF(B399=CONFIG!$G$6,CONFIG!$G$5,CONFIG!$G$6)</f>
        <v/>
      </c>
      <c r="C400" s="4" t="n"/>
      <c r="D400" s="4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>
        <f>IF(SUM(E400:N400)&gt;0,SUM(E400:N400),"")</f>
        <v/>
      </c>
      <c r="P400" s="4" t="n"/>
    </row>
    <row r="401">
      <c r="A401" s="12">
        <f>IF(B401=CONFIG!$G$5,A400+1,A400)</f>
        <v/>
      </c>
      <c r="B401" s="4">
        <f>IF(B400=CONFIG!$G$6,CONFIG!$G$5,CONFIG!$G$6)</f>
        <v/>
      </c>
      <c r="C401" s="4" t="n"/>
      <c r="D401" s="4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>
        <f>IF(SUM(E401:N401)&gt;0,SUM(E401:N401),"")</f>
        <v/>
      </c>
      <c r="P401" s="4" t="n"/>
    </row>
    <row r="402">
      <c r="A402" s="12">
        <f>IF(B402=CONFIG!$G$5,A401+1,A401)</f>
        <v/>
      </c>
      <c r="B402" s="4">
        <f>IF(B401=CONFIG!$G$6,CONFIG!$G$5,CONFIG!$G$6)</f>
        <v/>
      </c>
      <c r="C402" s="4" t="n"/>
      <c r="D402" s="4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>
        <f>IF(SUM(E402:N402)&gt;0,SUM(E402:N402),"")</f>
        <v/>
      </c>
      <c r="P402" s="4" t="n"/>
    </row>
    <row r="403">
      <c r="A403" s="12">
        <f>IF(B403=CONFIG!$G$5,A402+1,A402)</f>
        <v/>
      </c>
      <c r="B403" s="4">
        <f>IF(B402=CONFIG!$G$6,CONFIG!$G$5,CONFIG!$G$6)</f>
        <v/>
      </c>
      <c r="C403" s="4" t="n"/>
      <c r="D403" s="4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>
        <f>IF(SUM(E403:N403)&gt;0,SUM(E403:N403),"")</f>
        <v/>
      </c>
      <c r="P403" s="4" t="n"/>
    </row>
    <row r="404">
      <c r="A404" s="12">
        <f>IF(B404=CONFIG!$G$5,A403+1,A403)</f>
        <v/>
      </c>
      <c r="B404" s="4">
        <f>IF(B403=CONFIG!$G$6,CONFIG!$G$5,CONFIG!$G$6)</f>
        <v/>
      </c>
      <c r="C404" s="4" t="n"/>
      <c r="D404" s="4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>
        <f>IF(SUM(E404:N404)&gt;0,SUM(E404:N404),"")</f>
        <v/>
      </c>
      <c r="P404" s="4" t="n"/>
    </row>
    <row r="405">
      <c r="A405" s="12">
        <f>IF(B405=CONFIG!$G$5,A404+1,A404)</f>
        <v/>
      </c>
      <c r="B405" s="4">
        <f>IF(B404=CONFIG!$G$6,CONFIG!$G$5,CONFIG!$G$6)</f>
        <v/>
      </c>
      <c r="C405" s="4" t="n"/>
      <c r="D405" s="4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>
        <f>IF(SUM(E405:N405)&gt;0,SUM(E405:N405),"")</f>
        <v/>
      </c>
      <c r="P405" s="4" t="n"/>
    </row>
    <row r="406">
      <c r="A406" s="12">
        <f>IF(B406=CONFIG!$G$5,A405+1,A405)</f>
        <v/>
      </c>
      <c r="B406" s="4">
        <f>IF(B405=CONFIG!$G$6,CONFIG!$G$5,CONFIG!$G$6)</f>
        <v/>
      </c>
      <c r="C406" s="4" t="n"/>
      <c r="D406" s="4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>
        <f>IF(SUM(E406:N406)&gt;0,SUM(E406:N406),"")</f>
        <v/>
      </c>
      <c r="P406" s="4" t="n"/>
    </row>
    <row r="407">
      <c r="A407" s="12">
        <f>IF(B407=CONFIG!$G$5,A406+1,A406)</f>
        <v/>
      </c>
      <c r="B407" s="4">
        <f>IF(B406=CONFIG!$G$6,CONFIG!$G$5,CONFIG!$G$6)</f>
        <v/>
      </c>
      <c r="C407" s="4" t="n"/>
      <c r="D407" s="4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>
        <f>IF(SUM(E407:N407)&gt;0,SUM(E407:N407),"")</f>
        <v/>
      </c>
      <c r="P407" s="4" t="n"/>
    </row>
    <row r="408">
      <c r="A408" s="12">
        <f>IF(B408=CONFIG!$G$5,A407+1,A407)</f>
        <v/>
      </c>
      <c r="B408" s="4">
        <f>IF(B407=CONFIG!$G$6,CONFIG!$G$5,CONFIG!$G$6)</f>
        <v/>
      </c>
      <c r="C408" s="4" t="n"/>
      <c r="D408" s="4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>
        <f>IF(SUM(E408:N408)&gt;0,SUM(E408:N408),"")</f>
        <v/>
      </c>
      <c r="P408" s="4" t="n"/>
    </row>
    <row r="409">
      <c r="A409" s="12">
        <f>IF(B409=CONFIG!$G$5,A408+1,A408)</f>
        <v/>
      </c>
      <c r="B409" s="4">
        <f>IF(B408=CONFIG!$G$6,CONFIG!$G$5,CONFIG!$G$6)</f>
        <v/>
      </c>
      <c r="C409" s="4" t="n"/>
      <c r="D409" s="4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>
        <f>IF(SUM(E409:N409)&gt;0,SUM(E409:N409),"")</f>
        <v/>
      </c>
      <c r="P409" s="4" t="n"/>
    </row>
    <row r="410">
      <c r="A410" s="12">
        <f>IF(B410=CONFIG!$G$5,A409+1,A409)</f>
        <v/>
      </c>
      <c r="B410" s="4">
        <f>IF(B409=CONFIG!$G$6,CONFIG!$G$5,CONFIG!$G$6)</f>
        <v/>
      </c>
      <c r="C410" s="4" t="n"/>
      <c r="D410" s="4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>
        <f>IF(SUM(E410:N410)&gt;0,SUM(E410:N410),"")</f>
        <v/>
      </c>
      <c r="P410" s="4" t="n"/>
    </row>
    <row r="411">
      <c r="A411" s="12">
        <f>IF(B411=CONFIG!$G$5,A410+1,A410)</f>
        <v/>
      </c>
      <c r="B411" s="4">
        <f>IF(B410=CONFIG!$G$6,CONFIG!$G$5,CONFIG!$G$6)</f>
        <v/>
      </c>
      <c r="C411" s="4" t="n"/>
      <c r="D411" s="4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>
        <f>IF(SUM(E411:N411)&gt;0,SUM(E411:N411),"")</f>
        <v/>
      </c>
      <c r="P411" s="4" t="n"/>
    </row>
    <row r="412">
      <c r="A412" s="12">
        <f>IF(B412=CONFIG!$G$5,A411+1,A411)</f>
        <v/>
      </c>
      <c r="B412" s="4">
        <f>IF(B411=CONFIG!$G$6,CONFIG!$G$5,CONFIG!$G$6)</f>
        <v/>
      </c>
      <c r="C412" s="4" t="n"/>
      <c r="D412" s="4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>
        <f>IF(SUM(E412:N412)&gt;0,SUM(E412:N412),"")</f>
        <v/>
      </c>
      <c r="P412" s="4" t="n"/>
    </row>
    <row r="413">
      <c r="A413" s="12">
        <f>IF(B413=CONFIG!$G$5,A412+1,A412)</f>
        <v/>
      </c>
      <c r="B413" s="4">
        <f>IF(B412=CONFIG!$G$6,CONFIG!$G$5,CONFIG!$G$6)</f>
        <v/>
      </c>
      <c r="C413" s="4" t="n"/>
      <c r="D413" s="4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>
        <f>IF(SUM(E413:N413)&gt;0,SUM(E413:N413),"")</f>
        <v/>
      </c>
      <c r="P413" s="4" t="n"/>
    </row>
    <row r="414">
      <c r="A414" s="12">
        <f>IF(B414=CONFIG!$G$5,A413+1,A413)</f>
        <v/>
      </c>
      <c r="B414" s="4">
        <f>IF(B413=CONFIG!$G$6,CONFIG!$G$5,CONFIG!$G$6)</f>
        <v/>
      </c>
      <c r="C414" s="4" t="n"/>
      <c r="D414" s="4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>
        <f>IF(SUM(E414:N414)&gt;0,SUM(E414:N414),"")</f>
        <v/>
      </c>
      <c r="P414" s="4" t="n"/>
    </row>
    <row r="415">
      <c r="A415" s="12">
        <f>IF(B415=CONFIG!$G$5,A414+1,A414)</f>
        <v/>
      </c>
      <c r="B415" s="4">
        <f>IF(B414=CONFIG!$G$6,CONFIG!$G$5,CONFIG!$G$6)</f>
        <v/>
      </c>
      <c r="C415" s="4" t="n"/>
      <c r="D415" s="4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>
        <f>IF(SUM(E415:N415)&gt;0,SUM(E415:N415),"")</f>
        <v/>
      </c>
      <c r="P415" s="4" t="n"/>
    </row>
    <row r="416">
      <c r="A416" s="12">
        <f>IF(B416=CONFIG!$G$5,A415+1,A415)</f>
        <v/>
      </c>
      <c r="B416" s="4">
        <f>IF(B415=CONFIG!$G$6,CONFIG!$G$5,CONFIG!$G$6)</f>
        <v/>
      </c>
      <c r="C416" s="4" t="n"/>
      <c r="D416" s="4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>
        <f>IF(SUM(E416:N416)&gt;0,SUM(E416:N416),"")</f>
        <v/>
      </c>
      <c r="P416" s="4" t="n"/>
    </row>
    <row r="417">
      <c r="A417" s="12">
        <f>IF(B417=CONFIG!$G$5,A416+1,A416)</f>
        <v/>
      </c>
      <c r="B417" s="4">
        <f>IF(B416=CONFIG!$G$6,CONFIG!$G$5,CONFIG!$G$6)</f>
        <v/>
      </c>
      <c r="C417" s="4" t="n"/>
      <c r="D417" s="4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>
        <f>IF(SUM(E417:N417)&gt;0,SUM(E417:N417),"")</f>
        <v/>
      </c>
      <c r="P417" s="4" t="n"/>
    </row>
    <row r="418">
      <c r="A418" s="12">
        <f>IF(B418=CONFIG!$G$5,A417+1,A417)</f>
        <v/>
      </c>
      <c r="B418" s="4">
        <f>IF(B417=CONFIG!$G$6,CONFIG!$G$5,CONFIG!$G$6)</f>
        <v/>
      </c>
      <c r="C418" s="4" t="n"/>
      <c r="D418" s="4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>
        <f>IF(SUM(E418:N418)&gt;0,SUM(E418:N418),"")</f>
        <v/>
      </c>
      <c r="P418" s="4" t="n"/>
    </row>
    <row r="419">
      <c r="A419" s="12">
        <f>IF(B419=CONFIG!$G$5,A418+1,A418)</f>
        <v/>
      </c>
      <c r="B419" s="4">
        <f>IF(B418=CONFIG!$G$6,CONFIG!$G$5,CONFIG!$G$6)</f>
        <v/>
      </c>
      <c r="C419" s="4" t="n"/>
      <c r="D419" s="4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>
        <f>IF(SUM(E419:N419)&gt;0,SUM(E419:N419),"")</f>
        <v/>
      </c>
      <c r="P419" s="4" t="n"/>
    </row>
    <row r="420">
      <c r="A420" s="12">
        <f>IF(B420=CONFIG!$G$5,A419+1,A419)</f>
        <v/>
      </c>
      <c r="B420" s="4">
        <f>IF(B419=CONFIG!$G$6,CONFIG!$G$5,CONFIG!$G$6)</f>
        <v/>
      </c>
      <c r="C420" s="4" t="n"/>
      <c r="D420" s="4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>
        <f>IF(SUM(E420:N420)&gt;0,SUM(E420:N420),"")</f>
        <v/>
      </c>
      <c r="P420" s="4" t="n"/>
    </row>
    <row r="421">
      <c r="A421" s="12">
        <f>IF(B421=CONFIG!$G$5,A420+1,A420)</f>
        <v/>
      </c>
      <c r="B421" s="4">
        <f>IF(B420=CONFIG!$G$6,CONFIG!$G$5,CONFIG!$G$6)</f>
        <v/>
      </c>
      <c r="C421" s="4" t="n"/>
      <c r="D421" s="4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>
        <f>IF(SUM(E421:N421)&gt;0,SUM(E421:N421),"")</f>
        <v/>
      </c>
      <c r="P421" s="4" t="n"/>
    </row>
    <row r="422">
      <c r="A422" s="12">
        <f>IF(B422=CONFIG!$G$5,A421+1,A421)</f>
        <v/>
      </c>
      <c r="B422" s="4">
        <f>IF(B421=CONFIG!$G$6,CONFIG!$G$5,CONFIG!$G$6)</f>
        <v/>
      </c>
      <c r="C422" s="4" t="n"/>
      <c r="D422" s="4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>
        <f>IF(SUM(E422:N422)&gt;0,SUM(E422:N422),"")</f>
        <v/>
      </c>
      <c r="P422" s="4" t="n"/>
    </row>
    <row r="423">
      <c r="A423" s="12">
        <f>IF(B423=CONFIG!$G$5,A422+1,A422)</f>
        <v/>
      </c>
      <c r="B423" s="4">
        <f>IF(B422=CONFIG!$G$6,CONFIG!$G$5,CONFIG!$G$6)</f>
        <v/>
      </c>
      <c r="C423" s="4" t="n"/>
      <c r="D423" s="4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>
        <f>IF(SUM(E423:N423)&gt;0,SUM(E423:N423),"")</f>
        <v/>
      </c>
      <c r="P423" s="4" t="n"/>
    </row>
    <row r="424">
      <c r="A424" s="12">
        <f>IF(B424=CONFIG!$G$5,A423+1,A423)</f>
        <v/>
      </c>
      <c r="B424" s="4">
        <f>IF(B423=CONFIG!$G$6,CONFIG!$G$5,CONFIG!$G$6)</f>
        <v/>
      </c>
      <c r="C424" s="4" t="n"/>
      <c r="D424" s="4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>
        <f>IF(SUM(E424:N424)&gt;0,SUM(E424:N424),"")</f>
        <v/>
      </c>
      <c r="P424" s="4" t="n"/>
    </row>
    <row r="425">
      <c r="A425" s="12">
        <f>IF(B425=CONFIG!$G$5,A424+1,A424)</f>
        <v/>
      </c>
      <c r="B425" s="4">
        <f>IF(B424=CONFIG!$G$6,CONFIG!$G$5,CONFIG!$G$6)</f>
        <v/>
      </c>
      <c r="C425" s="4" t="n"/>
      <c r="D425" s="4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>
        <f>IF(SUM(E425:N425)&gt;0,SUM(E425:N425),"")</f>
        <v/>
      </c>
      <c r="P425" s="4" t="n"/>
    </row>
    <row r="426">
      <c r="A426" s="12">
        <f>IF(B426=CONFIG!$G$5,A425+1,A425)</f>
        <v/>
      </c>
      <c r="B426" s="4">
        <f>IF(B425=CONFIG!$G$6,CONFIG!$G$5,CONFIG!$G$6)</f>
        <v/>
      </c>
      <c r="C426" s="4" t="n"/>
      <c r="D426" s="4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>
        <f>IF(SUM(E426:N426)&gt;0,SUM(E426:N426),"")</f>
        <v/>
      </c>
      <c r="P426" s="4" t="n"/>
    </row>
    <row r="427">
      <c r="A427" s="12">
        <f>IF(B427=CONFIG!$G$5,A426+1,A426)</f>
        <v/>
      </c>
      <c r="B427" s="4">
        <f>IF(B426=CONFIG!$G$6,CONFIG!$G$5,CONFIG!$G$6)</f>
        <v/>
      </c>
      <c r="C427" s="4" t="n"/>
      <c r="D427" s="4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>
        <f>IF(SUM(E427:N427)&gt;0,SUM(E427:N427),"")</f>
        <v/>
      </c>
      <c r="P427" s="4" t="n"/>
    </row>
    <row r="428">
      <c r="A428" s="12">
        <f>IF(B428=CONFIG!$G$5,A427+1,A427)</f>
        <v/>
      </c>
      <c r="B428" s="4">
        <f>IF(B427=CONFIG!$G$6,CONFIG!$G$5,CONFIG!$G$6)</f>
        <v/>
      </c>
      <c r="C428" s="4" t="n"/>
      <c r="D428" s="4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>
        <f>IF(SUM(E428:N428)&gt;0,SUM(E428:N428),"")</f>
        <v/>
      </c>
      <c r="P428" s="4" t="n"/>
    </row>
    <row r="429">
      <c r="A429" s="12">
        <f>IF(B429=CONFIG!$G$5,A428+1,A428)</f>
        <v/>
      </c>
      <c r="B429" s="4">
        <f>IF(B428=CONFIG!$G$6,CONFIG!$G$5,CONFIG!$G$6)</f>
        <v/>
      </c>
      <c r="C429" s="4" t="n"/>
      <c r="D429" s="4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>
        <f>IF(SUM(E429:N429)&gt;0,SUM(E429:N429),"")</f>
        <v/>
      </c>
      <c r="P429" s="4" t="n"/>
    </row>
    <row r="430">
      <c r="A430" s="12">
        <f>IF(B430=CONFIG!$G$5,A429+1,A429)</f>
        <v/>
      </c>
      <c r="B430" s="4">
        <f>IF(B429=CONFIG!$G$6,CONFIG!$G$5,CONFIG!$G$6)</f>
        <v/>
      </c>
      <c r="C430" s="4" t="n"/>
      <c r="D430" s="4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>
        <f>IF(SUM(E430:N430)&gt;0,SUM(E430:N430),"")</f>
        <v/>
      </c>
      <c r="P430" s="4" t="n"/>
    </row>
    <row r="431">
      <c r="A431" s="12">
        <f>IF(B431=CONFIG!$G$5,A430+1,A430)</f>
        <v/>
      </c>
      <c r="B431" s="4">
        <f>IF(B430=CONFIG!$G$6,CONFIG!$G$5,CONFIG!$G$6)</f>
        <v/>
      </c>
      <c r="C431" s="4" t="n"/>
      <c r="D431" s="4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>
        <f>IF(SUM(E431:N431)&gt;0,SUM(E431:N431),"")</f>
        <v/>
      </c>
      <c r="P431" s="4" t="n"/>
    </row>
    <row r="432">
      <c r="A432" s="12">
        <f>IF(B432=CONFIG!$G$5,A431+1,A431)</f>
        <v/>
      </c>
      <c r="B432" s="4">
        <f>IF(B431=CONFIG!$G$6,CONFIG!$G$5,CONFIG!$G$6)</f>
        <v/>
      </c>
      <c r="C432" s="4" t="n"/>
      <c r="D432" s="4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>
        <f>IF(SUM(E432:N432)&gt;0,SUM(E432:N432),"")</f>
        <v/>
      </c>
      <c r="P432" s="4" t="n"/>
    </row>
    <row r="433">
      <c r="A433" s="12">
        <f>IF(B433=CONFIG!$G$5,A432+1,A432)</f>
        <v/>
      </c>
      <c r="B433" s="4">
        <f>IF(B432=CONFIG!$G$6,CONFIG!$G$5,CONFIG!$G$6)</f>
        <v/>
      </c>
      <c r="C433" s="4" t="n"/>
      <c r="D433" s="4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>
        <f>IF(SUM(E433:N433)&gt;0,SUM(E433:N433),"")</f>
        <v/>
      </c>
      <c r="P433" s="4" t="n"/>
    </row>
    <row r="434">
      <c r="A434" s="12">
        <f>IF(B434=CONFIG!$G$5,A433+1,A433)</f>
        <v/>
      </c>
      <c r="B434" s="4">
        <f>IF(B433=CONFIG!$G$6,CONFIG!$G$5,CONFIG!$G$6)</f>
        <v/>
      </c>
      <c r="C434" s="4" t="n"/>
      <c r="D434" s="4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>
        <f>IF(SUM(E434:N434)&gt;0,SUM(E434:N434),"")</f>
        <v/>
      </c>
      <c r="P434" s="4" t="n"/>
    </row>
    <row r="435">
      <c r="A435" s="12">
        <f>IF(B435=CONFIG!$G$5,A434+1,A434)</f>
        <v/>
      </c>
      <c r="B435" s="4">
        <f>IF(B434=CONFIG!$G$6,CONFIG!$G$5,CONFIG!$G$6)</f>
        <v/>
      </c>
      <c r="C435" s="4" t="n"/>
      <c r="D435" s="4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>
        <f>IF(SUM(E435:N435)&gt;0,SUM(E435:N435),"")</f>
        <v/>
      </c>
      <c r="P435" s="4" t="n"/>
    </row>
    <row r="436">
      <c r="A436" s="12">
        <f>IF(B436=CONFIG!$G$5,A435+1,A435)</f>
        <v/>
      </c>
      <c r="B436" s="4">
        <f>IF(B435=CONFIG!$G$6,CONFIG!$G$5,CONFIG!$G$6)</f>
        <v/>
      </c>
      <c r="C436" s="4" t="n"/>
      <c r="D436" s="4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>
        <f>IF(SUM(E436:N436)&gt;0,SUM(E436:N436),"")</f>
        <v/>
      </c>
      <c r="P436" s="4" t="n"/>
    </row>
    <row r="437">
      <c r="A437" s="12">
        <f>IF(B437=CONFIG!$G$5,A436+1,A436)</f>
        <v/>
      </c>
      <c r="B437" s="4">
        <f>IF(B436=CONFIG!$G$6,CONFIG!$G$5,CONFIG!$G$6)</f>
        <v/>
      </c>
      <c r="C437" s="4" t="n"/>
      <c r="D437" s="4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>
        <f>IF(SUM(E437:N437)&gt;0,SUM(E437:N437),"")</f>
        <v/>
      </c>
      <c r="P437" s="4" t="n"/>
    </row>
    <row r="438">
      <c r="A438" s="12">
        <f>IF(B438=CONFIG!$G$5,A437+1,A437)</f>
        <v/>
      </c>
      <c r="B438" s="4">
        <f>IF(B437=CONFIG!$G$6,CONFIG!$G$5,CONFIG!$G$6)</f>
        <v/>
      </c>
      <c r="C438" s="4" t="n"/>
      <c r="D438" s="4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>
        <f>IF(SUM(E438:N438)&gt;0,SUM(E438:N438),"")</f>
        <v/>
      </c>
      <c r="P438" s="4" t="n"/>
    </row>
    <row r="439">
      <c r="A439" s="12">
        <f>IF(B439=CONFIG!$G$5,A438+1,A438)</f>
        <v/>
      </c>
      <c r="B439" s="4">
        <f>IF(B438=CONFIG!$G$6,CONFIG!$G$5,CONFIG!$G$6)</f>
        <v/>
      </c>
      <c r="C439" s="4" t="n"/>
      <c r="D439" s="4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>
        <f>IF(SUM(E439:N439)&gt;0,SUM(E439:N439),"")</f>
        <v/>
      </c>
      <c r="P439" s="4" t="n"/>
    </row>
    <row r="440">
      <c r="A440" s="12">
        <f>IF(B440=CONFIG!$G$5,A439+1,A439)</f>
        <v/>
      </c>
      <c r="B440" s="4">
        <f>IF(B439=CONFIG!$G$6,CONFIG!$G$5,CONFIG!$G$6)</f>
        <v/>
      </c>
      <c r="C440" s="4" t="n"/>
      <c r="D440" s="4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>
        <f>IF(SUM(E440:N440)&gt;0,SUM(E440:N440),"")</f>
        <v/>
      </c>
      <c r="P440" s="4" t="n"/>
    </row>
    <row r="441">
      <c r="A441" s="12">
        <f>IF(B441=CONFIG!$G$5,A440+1,A440)</f>
        <v/>
      </c>
      <c r="B441" s="4">
        <f>IF(B440=CONFIG!$G$6,CONFIG!$G$5,CONFIG!$G$6)</f>
        <v/>
      </c>
      <c r="C441" s="4" t="n"/>
      <c r="D441" s="4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>
        <f>IF(SUM(E441:N441)&gt;0,SUM(E441:N441),"")</f>
        <v/>
      </c>
      <c r="P441" s="4" t="n"/>
    </row>
    <row r="442">
      <c r="A442" s="12">
        <f>IF(B442=CONFIG!$G$5,A441+1,A441)</f>
        <v/>
      </c>
      <c r="B442" s="4">
        <f>IF(B441=CONFIG!$G$6,CONFIG!$G$5,CONFIG!$G$6)</f>
        <v/>
      </c>
      <c r="C442" s="4" t="n"/>
      <c r="D442" s="4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>
        <f>IF(SUM(E442:N442)&gt;0,SUM(E442:N442),"")</f>
        <v/>
      </c>
      <c r="P442" s="4" t="n"/>
    </row>
    <row r="443">
      <c r="A443" s="12">
        <f>IF(B443=CONFIG!$G$5,A442+1,A442)</f>
        <v/>
      </c>
      <c r="B443" s="4">
        <f>IF(B442=CONFIG!$G$6,CONFIG!$G$5,CONFIG!$G$6)</f>
        <v/>
      </c>
      <c r="C443" s="4" t="n"/>
      <c r="D443" s="4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>
        <f>IF(SUM(E443:N443)&gt;0,SUM(E443:N443),"")</f>
        <v/>
      </c>
      <c r="P443" s="4" t="n"/>
    </row>
    <row r="444">
      <c r="A444" s="12">
        <f>IF(B444=CONFIG!$G$5,A443+1,A443)</f>
        <v/>
      </c>
      <c r="B444" s="4">
        <f>IF(B443=CONFIG!$G$6,CONFIG!$G$5,CONFIG!$G$6)</f>
        <v/>
      </c>
      <c r="C444" s="4" t="n"/>
      <c r="D444" s="4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>
        <f>IF(SUM(E444:N444)&gt;0,SUM(E444:N444),"")</f>
        <v/>
      </c>
      <c r="P444" s="4" t="n"/>
    </row>
    <row r="445">
      <c r="A445" s="12">
        <f>IF(B445=CONFIG!$G$5,A444+1,A444)</f>
        <v/>
      </c>
      <c r="B445" s="4">
        <f>IF(B444=CONFIG!$G$6,CONFIG!$G$5,CONFIG!$G$6)</f>
        <v/>
      </c>
      <c r="C445" s="4" t="n"/>
      <c r="D445" s="4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>
        <f>IF(SUM(E445:N445)&gt;0,SUM(E445:N445),"")</f>
        <v/>
      </c>
      <c r="P445" s="4" t="n"/>
    </row>
    <row r="446">
      <c r="A446" s="12">
        <f>IF(B446=CONFIG!$G$5,A445+1,A445)</f>
        <v/>
      </c>
      <c r="B446" s="4">
        <f>IF(B445=CONFIG!$G$6,CONFIG!$G$5,CONFIG!$G$6)</f>
        <v/>
      </c>
      <c r="C446" s="4" t="n"/>
      <c r="D446" s="4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>
        <f>IF(SUM(E446:N446)&gt;0,SUM(E446:N446),"")</f>
        <v/>
      </c>
      <c r="P446" s="4" t="n"/>
    </row>
    <row r="447">
      <c r="A447" s="12">
        <f>IF(B447=CONFIG!$G$5,A446+1,A446)</f>
        <v/>
      </c>
      <c r="B447" s="4">
        <f>IF(B446=CONFIG!$G$6,CONFIG!$G$5,CONFIG!$G$6)</f>
        <v/>
      </c>
      <c r="C447" s="4" t="n"/>
      <c r="D447" s="4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>
        <f>IF(SUM(E447:N447)&gt;0,SUM(E447:N447),"")</f>
        <v/>
      </c>
      <c r="P447" s="4" t="n"/>
    </row>
    <row r="448">
      <c r="A448" s="12">
        <f>IF(B448=CONFIG!$G$5,A447+1,A447)</f>
        <v/>
      </c>
      <c r="B448" s="4">
        <f>IF(B447=CONFIG!$G$6,CONFIG!$G$5,CONFIG!$G$6)</f>
        <v/>
      </c>
      <c r="C448" s="4" t="n"/>
      <c r="D448" s="4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>
        <f>IF(SUM(E448:N448)&gt;0,SUM(E448:N448),"")</f>
        <v/>
      </c>
      <c r="P448" s="4" t="n"/>
    </row>
    <row r="449">
      <c r="A449" s="12">
        <f>IF(B449=CONFIG!$G$5,A448+1,A448)</f>
        <v/>
      </c>
      <c r="B449" s="4">
        <f>IF(B448=CONFIG!$G$6,CONFIG!$G$5,CONFIG!$G$6)</f>
        <v/>
      </c>
      <c r="C449" s="4" t="n"/>
      <c r="D449" s="4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>
        <f>IF(SUM(E449:N449)&gt;0,SUM(E449:N449),"")</f>
        <v/>
      </c>
      <c r="P449" s="4" t="n"/>
    </row>
    <row r="450">
      <c r="A450" s="12">
        <f>IF(B450=CONFIG!$G$5,A449+1,A449)</f>
        <v/>
      </c>
      <c r="B450" s="4">
        <f>IF(B449=CONFIG!$G$6,CONFIG!$G$5,CONFIG!$G$6)</f>
        <v/>
      </c>
      <c r="C450" s="4" t="n"/>
      <c r="D450" s="4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>
        <f>IF(SUM(E450:N450)&gt;0,SUM(E450:N450),"")</f>
        <v/>
      </c>
      <c r="P450" s="4" t="n"/>
    </row>
    <row r="451">
      <c r="A451" s="12">
        <f>IF(B451=CONFIG!$G$5,A450+1,A450)</f>
        <v/>
      </c>
      <c r="B451" s="4">
        <f>IF(B450=CONFIG!$G$6,CONFIG!$G$5,CONFIG!$G$6)</f>
        <v/>
      </c>
      <c r="C451" s="4" t="n"/>
      <c r="D451" s="4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>
        <f>IF(SUM(E451:N451)&gt;0,SUM(E451:N451),"")</f>
        <v/>
      </c>
      <c r="P451" s="4" t="n"/>
    </row>
    <row r="452">
      <c r="A452" s="12">
        <f>IF(B452=CONFIG!$G$5,A451+1,A451)</f>
        <v/>
      </c>
      <c r="B452" s="4">
        <f>IF(B451=CONFIG!$G$6,CONFIG!$G$5,CONFIG!$G$6)</f>
        <v/>
      </c>
      <c r="C452" s="4" t="n"/>
      <c r="D452" s="4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>
        <f>IF(SUM(E452:N452)&gt;0,SUM(E452:N452),"")</f>
        <v/>
      </c>
      <c r="P452" s="4" t="n"/>
    </row>
    <row r="453">
      <c r="A453" s="12">
        <f>IF(B453=CONFIG!$G$5,A452+1,A452)</f>
        <v/>
      </c>
      <c r="B453" s="4">
        <f>IF(B452=CONFIG!$G$6,CONFIG!$G$5,CONFIG!$G$6)</f>
        <v/>
      </c>
      <c r="C453" s="4" t="n"/>
      <c r="D453" s="4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>
        <f>IF(SUM(E453:N453)&gt;0,SUM(E453:N453),"")</f>
        <v/>
      </c>
      <c r="P453" s="4" t="n"/>
    </row>
    <row r="454">
      <c r="A454" s="12">
        <f>IF(B454=CONFIG!$G$5,A453+1,A453)</f>
        <v/>
      </c>
      <c r="B454" s="4">
        <f>IF(B453=CONFIG!$G$6,CONFIG!$G$5,CONFIG!$G$6)</f>
        <v/>
      </c>
      <c r="C454" s="4" t="n"/>
      <c r="D454" s="4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>
        <f>IF(SUM(E454:N454)&gt;0,SUM(E454:N454),"")</f>
        <v/>
      </c>
      <c r="P454" s="4" t="n"/>
    </row>
    <row r="455">
      <c r="A455" s="12">
        <f>IF(B455=CONFIG!$G$5,A454+1,A454)</f>
        <v/>
      </c>
      <c r="B455" s="4">
        <f>IF(B454=CONFIG!$G$6,CONFIG!$G$5,CONFIG!$G$6)</f>
        <v/>
      </c>
      <c r="C455" s="4" t="n"/>
      <c r="D455" s="4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>
        <f>IF(SUM(E455:N455)&gt;0,SUM(E455:N455),"")</f>
        <v/>
      </c>
      <c r="P455" s="4" t="n"/>
    </row>
    <row r="456">
      <c r="A456" s="12">
        <f>IF(B456=CONFIG!$G$5,A455+1,A455)</f>
        <v/>
      </c>
      <c r="B456" s="4">
        <f>IF(B455=CONFIG!$G$6,CONFIG!$G$5,CONFIG!$G$6)</f>
        <v/>
      </c>
      <c r="C456" s="4" t="n"/>
      <c r="D456" s="4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>
        <f>IF(SUM(E456:N456)&gt;0,SUM(E456:N456),"")</f>
        <v/>
      </c>
      <c r="P456" s="4" t="n"/>
    </row>
    <row r="457">
      <c r="A457" s="12">
        <f>IF(B457=CONFIG!$G$5,A456+1,A456)</f>
        <v/>
      </c>
      <c r="B457" s="4">
        <f>IF(B456=CONFIG!$G$6,CONFIG!$G$5,CONFIG!$G$6)</f>
        <v/>
      </c>
      <c r="C457" s="4" t="n"/>
      <c r="D457" s="4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>
        <f>IF(SUM(E457:N457)&gt;0,SUM(E457:N457),"")</f>
        <v/>
      </c>
      <c r="P457" s="4" t="n"/>
    </row>
    <row r="458">
      <c r="A458" s="12">
        <f>IF(B458=CONFIG!$G$5,A457+1,A457)</f>
        <v/>
      </c>
      <c r="B458" s="4">
        <f>IF(B457=CONFIG!$G$6,CONFIG!$G$5,CONFIG!$G$6)</f>
        <v/>
      </c>
      <c r="C458" s="4" t="n"/>
      <c r="D458" s="4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>
        <f>IF(SUM(E458:N458)&gt;0,SUM(E458:N458),"")</f>
        <v/>
      </c>
      <c r="P458" s="4" t="n"/>
    </row>
    <row r="459">
      <c r="A459" s="12">
        <f>IF(B459=CONFIG!$G$5,A458+1,A458)</f>
        <v/>
      </c>
      <c r="B459" s="4">
        <f>IF(B458=CONFIG!$G$6,CONFIG!$G$5,CONFIG!$G$6)</f>
        <v/>
      </c>
      <c r="C459" s="4" t="n"/>
      <c r="D459" s="4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>
        <f>IF(SUM(E459:N459)&gt;0,SUM(E459:N459),"")</f>
        <v/>
      </c>
      <c r="P459" s="4" t="n"/>
    </row>
    <row r="460">
      <c r="A460" s="12">
        <f>IF(B460=CONFIG!$G$5,A459+1,A459)</f>
        <v/>
      </c>
      <c r="B460" s="4">
        <f>IF(B459=CONFIG!$G$6,CONFIG!$G$5,CONFIG!$G$6)</f>
        <v/>
      </c>
      <c r="C460" s="4" t="n"/>
      <c r="D460" s="4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>
        <f>IF(SUM(E460:N460)&gt;0,SUM(E460:N460),"")</f>
        <v/>
      </c>
      <c r="P460" s="4" t="n"/>
    </row>
    <row r="461">
      <c r="A461" s="12">
        <f>IF(B461=CONFIG!$G$5,A460+1,A460)</f>
        <v/>
      </c>
      <c r="B461" s="4">
        <f>IF(B460=CONFIG!$G$6,CONFIG!$G$5,CONFIG!$G$6)</f>
        <v/>
      </c>
      <c r="C461" s="4" t="n"/>
      <c r="D461" s="4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>
        <f>IF(SUM(E461:N461)&gt;0,SUM(E461:N461),"")</f>
        <v/>
      </c>
      <c r="P461" s="4" t="n"/>
    </row>
    <row r="462">
      <c r="A462" s="12">
        <f>IF(B462=CONFIG!$G$5,A461+1,A461)</f>
        <v/>
      </c>
      <c r="B462" s="4">
        <f>IF(B461=CONFIG!$G$6,CONFIG!$G$5,CONFIG!$G$6)</f>
        <v/>
      </c>
      <c r="C462" s="4" t="n"/>
      <c r="D462" s="4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>
        <f>IF(SUM(E462:N462)&gt;0,SUM(E462:N462),"")</f>
        <v/>
      </c>
      <c r="P462" s="4" t="n"/>
    </row>
    <row r="463">
      <c r="A463" s="12">
        <f>IF(B463=CONFIG!$G$5,A462+1,A462)</f>
        <v/>
      </c>
      <c r="B463" s="4">
        <f>IF(B462=CONFIG!$G$6,CONFIG!$G$5,CONFIG!$G$6)</f>
        <v/>
      </c>
      <c r="C463" s="4" t="n"/>
      <c r="D463" s="4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>
        <f>IF(SUM(E463:N463)&gt;0,SUM(E463:N463),"")</f>
        <v/>
      </c>
      <c r="P463" s="4" t="n"/>
    </row>
    <row r="464">
      <c r="A464" s="12">
        <f>IF(B464=CONFIG!$G$5,A463+1,A463)</f>
        <v/>
      </c>
      <c r="B464" s="4">
        <f>IF(B463=CONFIG!$G$6,CONFIG!$G$5,CONFIG!$G$6)</f>
        <v/>
      </c>
      <c r="C464" s="4" t="n"/>
      <c r="D464" s="4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>
        <f>IF(SUM(E464:N464)&gt;0,SUM(E464:N464),"")</f>
        <v/>
      </c>
      <c r="P464" s="4" t="n"/>
    </row>
    <row r="465">
      <c r="A465" s="12">
        <f>IF(B465=CONFIG!$G$5,A464+1,A464)</f>
        <v/>
      </c>
      <c r="B465" s="4">
        <f>IF(B464=CONFIG!$G$6,CONFIG!$G$5,CONFIG!$G$6)</f>
        <v/>
      </c>
      <c r="C465" s="4" t="n"/>
      <c r="D465" s="4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>
        <f>IF(SUM(E465:N465)&gt;0,SUM(E465:N465),"")</f>
        <v/>
      </c>
      <c r="P465" s="4" t="n"/>
    </row>
    <row r="466">
      <c r="A466" s="12">
        <f>IF(B466=CONFIG!$G$5,A465+1,A465)</f>
        <v/>
      </c>
      <c r="B466" s="4">
        <f>IF(B465=CONFIG!$G$6,CONFIG!$G$5,CONFIG!$G$6)</f>
        <v/>
      </c>
      <c r="C466" s="4" t="n"/>
      <c r="D466" s="4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>
        <f>IF(SUM(E466:N466)&gt;0,SUM(E466:N466),"")</f>
        <v/>
      </c>
      <c r="P466" s="4" t="n"/>
    </row>
    <row r="467">
      <c r="A467" s="12">
        <f>IF(B467=CONFIG!$G$5,A466+1,A466)</f>
        <v/>
      </c>
      <c r="B467" s="4">
        <f>IF(B466=CONFIG!$G$6,CONFIG!$G$5,CONFIG!$G$6)</f>
        <v/>
      </c>
      <c r="C467" s="4" t="n"/>
      <c r="D467" s="4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>
        <f>IF(SUM(E467:N467)&gt;0,SUM(E467:N467),"")</f>
        <v/>
      </c>
      <c r="P467" s="4" t="n"/>
    </row>
    <row r="468">
      <c r="A468" s="12">
        <f>IF(B468=CONFIG!$G$5,A467+1,A467)</f>
        <v/>
      </c>
      <c r="B468" s="4">
        <f>IF(B467=CONFIG!$G$6,CONFIG!$G$5,CONFIG!$G$6)</f>
        <v/>
      </c>
      <c r="C468" s="4" t="n"/>
      <c r="D468" s="4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>
        <f>IF(SUM(E468:N468)&gt;0,SUM(E468:N468),"")</f>
        <v/>
      </c>
      <c r="P468" s="4" t="n"/>
    </row>
    <row r="469">
      <c r="A469" s="12">
        <f>IF(B469=CONFIG!$G$5,A468+1,A468)</f>
        <v/>
      </c>
      <c r="B469" s="4">
        <f>IF(B468=CONFIG!$G$6,CONFIG!$G$5,CONFIG!$G$6)</f>
        <v/>
      </c>
      <c r="C469" s="4" t="n"/>
      <c r="D469" s="4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>
        <f>IF(SUM(E469:N469)&gt;0,SUM(E469:N469),"")</f>
        <v/>
      </c>
      <c r="P469" s="4" t="n"/>
    </row>
    <row r="470">
      <c r="A470" s="12">
        <f>IF(B470=CONFIG!$G$5,A469+1,A469)</f>
        <v/>
      </c>
      <c r="B470" s="4">
        <f>IF(B469=CONFIG!$G$6,CONFIG!$G$5,CONFIG!$G$6)</f>
        <v/>
      </c>
      <c r="C470" s="4" t="n"/>
      <c r="D470" s="4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>
        <f>IF(SUM(E470:N470)&gt;0,SUM(E470:N470),"")</f>
        <v/>
      </c>
      <c r="P470" s="4" t="n"/>
    </row>
    <row r="471">
      <c r="A471" s="12">
        <f>IF(B471=CONFIG!$G$5,A470+1,A470)</f>
        <v/>
      </c>
      <c r="B471" s="4">
        <f>IF(B470=CONFIG!$G$6,CONFIG!$G$5,CONFIG!$G$6)</f>
        <v/>
      </c>
      <c r="C471" s="4" t="n"/>
      <c r="D471" s="4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>
        <f>IF(SUM(E471:N471)&gt;0,SUM(E471:N471),"")</f>
        <v/>
      </c>
      <c r="P471" s="4" t="n"/>
    </row>
    <row r="472">
      <c r="A472" s="12">
        <f>IF(B472=CONFIG!$G$5,A471+1,A471)</f>
        <v/>
      </c>
      <c r="B472" s="4">
        <f>IF(B471=CONFIG!$G$6,CONFIG!$G$5,CONFIG!$G$6)</f>
        <v/>
      </c>
      <c r="C472" s="4" t="n"/>
      <c r="D472" s="4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>
        <f>IF(SUM(E472:N472)&gt;0,SUM(E472:N472),"")</f>
        <v/>
      </c>
      <c r="P472" s="4" t="n"/>
    </row>
    <row r="473">
      <c r="A473" s="12">
        <f>IF(B473=CONFIG!$G$5,A472+1,A472)</f>
        <v/>
      </c>
      <c r="B473" s="4">
        <f>IF(B472=CONFIG!$G$6,CONFIG!$G$5,CONFIG!$G$6)</f>
        <v/>
      </c>
      <c r="C473" s="4" t="n"/>
      <c r="D473" s="4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>
        <f>IF(SUM(E473:N473)&gt;0,SUM(E473:N473),"")</f>
        <v/>
      </c>
      <c r="P473" s="4" t="n"/>
    </row>
    <row r="474">
      <c r="A474" s="12">
        <f>IF(B474=CONFIG!$G$5,A473+1,A473)</f>
        <v/>
      </c>
      <c r="B474" s="4">
        <f>IF(B473=CONFIG!$G$6,CONFIG!$G$5,CONFIG!$G$6)</f>
        <v/>
      </c>
      <c r="C474" s="4" t="n"/>
      <c r="D474" s="4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>
        <f>IF(SUM(E474:N474)&gt;0,SUM(E474:N474),"")</f>
        <v/>
      </c>
      <c r="P474" s="4" t="n"/>
    </row>
    <row r="475">
      <c r="A475" s="12">
        <f>IF(B475=CONFIG!$G$5,A474+1,A474)</f>
        <v/>
      </c>
      <c r="B475" s="4">
        <f>IF(B474=CONFIG!$G$6,CONFIG!$G$5,CONFIG!$G$6)</f>
        <v/>
      </c>
      <c r="C475" s="4" t="n"/>
      <c r="D475" s="4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>
        <f>IF(SUM(E475:N475)&gt;0,SUM(E475:N475),"")</f>
        <v/>
      </c>
      <c r="P475" s="4" t="n"/>
    </row>
    <row r="476">
      <c r="A476" s="12">
        <f>IF(B476=CONFIG!$G$5,A475+1,A475)</f>
        <v/>
      </c>
      <c r="B476" s="4">
        <f>IF(B475=CONFIG!$G$6,CONFIG!$G$5,CONFIG!$G$6)</f>
        <v/>
      </c>
      <c r="C476" s="4" t="n"/>
      <c r="D476" s="4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>
        <f>IF(SUM(E476:N476)&gt;0,SUM(E476:N476),"")</f>
        <v/>
      </c>
      <c r="P476" s="4" t="n"/>
    </row>
    <row r="477">
      <c r="A477" s="12">
        <f>IF(B477=CONFIG!$G$5,A476+1,A476)</f>
        <v/>
      </c>
      <c r="B477" s="4">
        <f>IF(B476=CONFIG!$G$6,CONFIG!$G$5,CONFIG!$G$6)</f>
        <v/>
      </c>
      <c r="C477" s="4" t="n"/>
      <c r="D477" s="4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>
        <f>IF(SUM(E477:N477)&gt;0,SUM(E477:N477),"")</f>
        <v/>
      </c>
      <c r="P477" s="4" t="n"/>
    </row>
    <row r="478">
      <c r="A478" s="12">
        <f>IF(B478=CONFIG!$G$5,A477+1,A477)</f>
        <v/>
      </c>
      <c r="B478" s="4">
        <f>IF(B477=CONFIG!$G$6,CONFIG!$G$5,CONFIG!$G$6)</f>
        <v/>
      </c>
      <c r="C478" s="4" t="n"/>
      <c r="D478" s="4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>
        <f>IF(SUM(E478:N478)&gt;0,SUM(E478:N478),"")</f>
        <v/>
      </c>
      <c r="P478" s="4" t="n"/>
    </row>
    <row r="479">
      <c r="A479" s="12">
        <f>IF(B479=CONFIG!$G$5,A478+1,A478)</f>
        <v/>
      </c>
      <c r="B479" s="4">
        <f>IF(B478=CONFIG!$G$6,CONFIG!$G$5,CONFIG!$G$6)</f>
        <v/>
      </c>
      <c r="C479" s="4" t="n"/>
      <c r="D479" s="4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>
        <f>IF(SUM(E479:N479)&gt;0,SUM(E479:N479),"")</f>
        <v/>
      </c>
      <c r="P479" s="4" t="n"/>
    </row>
    <row r="480">
      <c r="A480" s="12">
        <f>IF(B480=CONFIG!$G$5,A479+1,A479)</f>
        <v/>
      </c>
      <c r="B480" s="4">
        <f>IF(B479=CONFIG!$G$6,CONFIG!$G$5,CONFIG!$G$6)</f>
        <v/>
      </c>
      <c r="C480" s="4" t="n"/>
      <c r="D480" s="4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>
        <f>IF(SUM(E480:N480)&gt;0,SUM(E480:N480),"")</f>
        <v/>
      </c>
      <c r="P480" s="4" t="n"/>
    </row>
    <row r="481">
      <c r="A481" s="12">
        <f>IF(B481=CONFIG!$G$5,A480+1,A480)</f>
        <v/>
      </c>
      <c r="B481" s="4">
        <f>IF(B480=CONFIG!$G$6,CONFIG!$G$5,CONFIG!$G$6)</f>
        <v/>
      </c>
      <c r="C481" s="4" t="n"/>
      <c r="D481" s="4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>
        <f>IF(SUM(E481:N481)&gt;0,SUM(E481:N481),"")</f>
        <v/>
      </c>
      <c r="P481" s="4" t="n"/>
    </row>
    <row r="482">
      <c r="A482" s="12">
        <f>IF(B482=CONFIG!$G$5,A481+1,A481)</f>
        <v/>
      </c>
      <c r="B482" s="4">
        <f>IF(B481=CONFIG!$G$6,CONFIG!$G$5,CONFIG!$G$6)</f>
        <v/>
      </c>
      <c r="C482" s="4" t="n"/>
      <c r="D482" s="4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>
        <f>IF(SUM(E482:N482)&gt;0,SUM(E482:N482),"")</f>
        <v/>
      </c>
      <c r="P482" s="4" t="n"/>
    </row>
    <row r="483">
      <c r="A483" s="12">
        <f>IF(B483=CONFIG!$G$5,A482+1,A482)</f>
        <v/>
      </c>
      <c r="B483" s="4">
        <f>IF(B482=CONFIG!$G$6,CONFIG!$G$5,CONFIG!$G$6)</f>
        <v/>
      </c>
      <c r="C483" s="4" t="n"/>
      <c r="D483" s="4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>
        <f>IF(SUM(E483:N483)&gt;0,SUM(E483:N483),"")</f>
        <v/>
      </c>
      <c r="P483" s="4" t="n"/>
    </row>
    <row r="484">
      <c r="A484" s="12">
        <f>IF(B484=CONFIG!$G$5,A483+1,A483)</f>
        <v/>
      </c>
      <c r="B484" s="4">
        <f>IF(B483=CONFIG!$G$6,CONFIG!$G$5,CONFIG!$G$6)</f>
        <v/>
      </c>
      <c r="C484" s="4" t="n"/>
      <c r="D484" s="4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>
        <f>IF(SUM(E484:N484)&gt;0,SUM(E484:N484),"")</f>
        <v/>
      </c>
      <c r="P484" s="4" t="n"/>
    </row>
    <row r="485">
      <c r="A485" s="12">
        <f>IF(B485=CONFIG!$G$5,A484+1,A484)</f>
        <v/>
      </c>
      <c r="B485" s="4">
        <f>IF(B484=CONFIG!$G$6,CONFIG!$G$5,CONFIG!$G$6)</f>
        <v/>
      </c>
      <c r="C485" s="4" t="n"/>
      <c r="D485" s="4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>
        <f>IF(SUM(E485:N485)&gt;0,SUM(E485:N485),"")</f>
        <v/>
      </c>
      <c r="P485" s="4" t="n"/>
    </row>
    <row r="486">
      <c r="A486" s="12">
        <f>IF(B486=CONFIG!$G$5,A485+1,A485)</f>
        <v/>
      </c>
      <c r="B486" s="4">
        <f>IF(B485=CONFIG!$G$6,CONFIG!$G$5,CONFIG!$G$6)</f>
        <v/>
      </c>
      <c r="C486" s="4" t="n"/>
      <c r="D486" s="4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>
        <f>IF(SUM(E486:N486)&gt;0,SUM(E486:N486),"")</f>
        <v/>
      </c>
      <c r="P486" s="4" t="n"/>
    </row>
    <row r="487">
      <c r="A487" s="12">
        <f>IF(B487=CONFIG!$G$5,A486+1,A486)</f>
        <v/>
      </c>
      <c r="B487" s="4">
        <f>IF(B486=CONFIG!$G$6,CONFIG!$G$5,CONFIG!$G$6)</f>
        <v/>
      </c>
      <c r="C487" s="4" t="n"/>
      <c r="D487" s="4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>
        <f>IF(SUM(E487:N487)&gt;0,SUM(E487:N487),"")</f>
        <v/>
      </c>
      <c r="P487" s="4" t="n"/>
    </row>
    <row r="488">
      <c r="A488" s="12">
        <f>IF(B488=CONFIG!$G$5,A487+1,A487)</f>
        <v/>
      </c>
      <c r="B488" s="4">
        <f>IF(B487=CONFIG!$G$6,CONFIG!$G$5,CONFIG!$G$6)</f>
        <v/>
      </c>
      <c r="C488" s="4" t="n"/>
      <c r="D488" s="4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>
        <f>IF(SUM(E488:N488)&gt;0,SUM(E488:N488),"")</f>
        <v/>
      </c>
      <c r="P488" s="4" t="n"/>
    </row>
    <row r="489">
      <c r="A489" s="12">
        <f>IF(B489=CONFIG!$G$5,A488+1,A488)</f>
        <v/>
      </c>
      <c r="B489" s="4">
        <f>IF(B488=CONFIG!$G$6,CONFIG!$G$5,CONFIG!$G$6)</f>
        <v/>
      </c>
      <c r="C489" s="4" t="n"/>
      <c r="D489" s="4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>
        <f>IF(SUM(E489:N489)&gt;0,SUM(E489:N489),"")</f>
        <v/>
      </c>
      <c r="P489" s="4" t="n"/>
    </row>
    <row r="490">
      <c r="A490" s="12">
        <f>IF(B490=CONFIG!$G$5,A489+1,A489)</f>
        <v/>
      </c>
      <c r="B490" s="4">
        <f>IF(B489=CONFIG!$G$6,CONFIG!$G$5,CONFIG!$G$6)</f>
        <v/>
      </c>
      <c r="C490" s="4" t="n"/>
      <c r="D490" s="4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>
        <f>IF(SUM(E490:N490)&gt;0,SUM(E490:N490),"")</f>
        <v/>
      </c>
      <c r="P490" s="4" t="n"/>
    </row>
    <row r="491">
      <c r="A491" s="12">
        <f>IF(B491=CONFIG!$G$5,A490+1,A490)</f>
        <v/>
      </c>
      <c r="B491" s="4">
        <f>IF(B490=CONFIG!$G$6,CONFIG!$G$5,CONFIG!$G$6)</f>
        <v/>
      </c>
      <c r="C491" s="4" t="n"/>
      <c r="D491" s="4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>
        <f>IF(SUM(E491:N491)&gt;0,SUM(E491:N491),"")</f>
        <v/>
      </c>
      <c r="P491" s="4" t="n"/>
    </row>
    <row r="492">
      <c r="A492" s="12">
        <f>IF(B492=CONFIG!$G$5,A491+1,A491)</f>
        <v/>
      </c>
      <c r="B492" s="4">
        <f>IF(B491=CONFIG!$G$6,CONFIG!$G$5,CONFIG!$G$6)</f>
        <v/>
      </c>
      <c r="C492" s="4" t="n"/>
      <c r="D492" s="4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>
        <f>IF(SUM(E492:N492)&gt;0,SUM(E492:N492),"")</f>
        <v/>
      </c>
      <c r="P492" s="4" t="n"/>
    </row>
    <row r="493">
      <c r="A493" s="12">
        <f>IF(B493=CONFIG!$G$5,A492+1,A492)</f>
        <v/>
      </c>
      <c r="B493" s="4">
        <f>IF(B492=CONFIG!$G$6,CONFIG!$G$5,CONFIG!$G$6)</f>
        <v/>
      </c>
      <c r="C493" s="4" t="n"/>
      <c r="D493" s="4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>
        <f>IF(SUM(E493:N493)&gt;0,SUM(E493:N493),"")</f>
        <v/>
      </c>
      <c r="P493" s="4" t="n"/>
    </row>
    <row r="494">
      <c r="A494" s="12">
        <f>IF(B494=CONFIG!$G$5,A493+1,A493)</f>
        <v/>
      </c>
      <c r="B494" s="4">
        <f>IF(B493=CONFIG!$G$6,CONFIG!$G$5,CONFIG!$G$6)</f>
        <v/>
      </c>
      <c r="C494" s="4" t="n"/>
      <c r="D494" s="4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>
        <f>IF(SUM(E494:N494)&gt;0,SUM(E494:N494),"")</f>
        <v/>
      </c>
      <c r="P494" s="4" t="n"/>
    </row>
    <row r="495">
      <c r="A495" s="12">
        <f>IF(B495=CONFIG!$G$5,A494+1,A494)</f>
        <v/>
      </c>
      <c r="B495" s="4">
        <f>IF(B494=CONFIG!$G$6,CONFIG!$G$5,CONFIG!$G$6)</f>
        <v/>
      </c>
      <c r="C495" s="4" t="n"/>
      <c r="D495" s="4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>
        <f>IF(SUM(E495:N495)&gt;0,SUM(E495:N495),"")</f>
        <v/>
      </c>
      <c r="P495" s="4" t="n"/>
    </row>
    <row r="496">
      <c r="A496" s="12">
        <f>IF(B496=CONFIG!$G$5,A495+1,A495)</f>
        <v/>
      </c>
      <c r="B496" s="4">
        <f>IF(B495=CONFIG!$G$6,CONFIG!$G$5,CONFIG!$G$6)</f>
        <v/>
      </c>
      <c r="C496" s="4" t="n"/>
      <c r="D496" s="4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>
        <f>IF(SUM(E496:N496)&gt;0,SUM(E496:N496),"")</f>
        <v/>
      </c>
      <c r="P496" s="4" t="n"/>
    </row>
    <row r="497">
      <c r="A497" s="12">
        <f>IF(B497=CONFIG!$G$5,A496+1,A496)</f>
        <v/>
      </c>
      <c r="B497" s="4">
        <f>IF(B496=CONFIG!$G$6,CONFIG!$G$5,CONFIG!$G$6)</f>
        <v/>
      </c>
      <c r="C497" s="4" t="n"/>
      <c r="D497" s="4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>
        <f>IF(SUM(E497:N497)&gt;0,SUM(E497:N497),"")</f>
        <v/>
      </c>
      <c r="P497" s="4" t="n"/>
    </row>
    <row r="498">
      <c r="A498" s="12">
        <f>IF(B498=CONFIG!$G$5,A497+1,A497)</f>
        <v/>
      </c>
      <c r="B498" s="4">
        <f>IF(B497=CONFIG!$G$6,CONFIG!$G$5,CONFIG!$G$6)</f>
        <v/>
      </c>
      <c r="C498" s="4" t="n"/>
      <c r="D498" s="4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>
        <f>IF(SUM(E498:N498)&gt;0,SUM(E498:N498),"")</f>
        <v/>
      </c>
      <c r="P498" s="4" t="n"/>
    </row>
    <row r="499">
      <c r="A499" s="12">
        <f>IF(B499=CONFIG!$G$5,A498+1,A498)</f>
        <v/>
      </c>
      <c r="B499" s="4">
        <f>IF(B498=CONFIG!$G$6,CONFIG!$G$5,CONFIG!$G$6)</f>
        <v/>
      </c>
      <c r="C499" s="4" t="n"/>
      <c r="D499" s="4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>
        <f>IF(SUM(E499:N499)&gt;0,SUM(E499:N499),"")</f>
        <v/>
      </c>
      <c r="P499" s="4" t="n"/>
    </row>
    <row r="500">
      <c r="A500" s="12">
        <f>IF(B500=CONFIG!$G$5,A499+1,A499)</f>
        <v/>
      </c>
      <c r="B500" s="4">
        <f>IF(B499=CONFIG!$G$6,CONFIG!$G$5,CONFIG!$G$6)</f>
        <v/>
      </c>
      <c r="C500" s="4" t="n"/>
      <c r="D500" s="4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>
        <f>IF(SUM(E500:N500)&gt;0,SUM(E500:N500),"")</f>
        <v/>
      </c>
      <c r="P500" s="4" t="n"/>
    </row>
    <row r="501">
      <c r="A501" s="12">
        <f>IF(B501=CONFIG!$G$5,A500+1,A500)</f>
        <v/>
      </c>
      <c r="B501" s="4">
        <f>IF(B500=CONFIG!$G$6,CONFIG!$G$5,CONFIG!$G$6)</f>
        <v/>
      </c>
      <c r="C501" s="4" t="n"/>
      <c r="D501" s="4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>
        <f>IF(SUM(E501:N501)&gt;0,SUM(E501:N501),"")</f>
        <v/>
      </c>
      <c r="P501" s="4" t="n"/>
    </row>
  </sheetData>
  <dataValidations count="3">
    <dataValidation sqref="B2:B501" showDropDown="0" showInputMessage="0" showErrorMessage="0" allowBlank="1" type="list">
      <formula1>CONFIG!$G$5:$G$7</formula1>
    </dataValidation>
    <dataValidation sqref="C2:C501" showDropDown="0" showInputMessage="0" showErrorMessage="0" allowBlank="1" type="list">
      <formula1>CONFIG!$C$5:$C$34</formula1>
    </dataValidation>
    <dataValidation sqref="D2:D501" showDropDown="0" showInputMessage="0" showErrorMessage="0" allowBlank="1" type="list">
      <formula1>CONFIG!$E$5:$E$24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  <col width="10" customWidth="1" min="6" max="6"/>
  </cols>
  <sheetData>
    <row r="1">
      <c r="A1" s="1" t="inlineStr">
        <is>
          <t>SUIVI PAR RTR</t>
        </is>
      </c>
    </row>
    <row r="2">
      <c r="A2" s="7" t="inlineStr">
        <is>
          <t>RTR</t>
        </is>
      </c>
      <c r="B2" s="7" t="inlineStr">
        <is>
          <t>Prevu (mSv)</t>
        </is>
      </c>
      <c r="C2" s="7" t="inlineStr">
        <is>
          <t>Consomme (mSv)</t>
        </is>
      </c>
      <c r="D2" s="7" t="inlineStr">
        <is>
          <t>Reste (mSv)</t>
        </is>
      </c>
      <c r="E2" s="7" t="inlineStr">
        <is>
          <t>% consomme</t>
        </is>
      </c>
      <c r="F2" s="7" t="inlineStr">
        <is>
          <t>Passages</t>
        </is>
      </c>
    </row>
    <row r="3">
      <c r="A3" s="4">
        <f>IF(CONFIG!C5&lt;&gt;"",CONFIG!C5,"")</f>
        <v/>
      </c>
      <c r="B3" s="9" t="n">
        <v>1.716</v>
      </c>
      <c r="C3" s="9">
        <f>IF(A3="",0,SUMIFS(SAISIE!$O$2:$O$501,SAISIE!$C$2:$C$501,A3))</f>
        <v/>
      </c>
      <c r="D3" s="9">
        <f>IF(OR(A3="",B3=0),"",B3-C3)</f>
        <v/>
      </c>
      <c r="E3" s="10">
        <f>IF(OR(A3="",B3=0),"",C3/B3)</f>
        <v/>
      </c>
      <c r="F3" s="4">
        <f>IF(A3="",0,COUNTIF(SAISIE!$C$2:$C$501,A3))</f>
        <v/>
      </c>
    </row>
    <row r="4">
      <c r="A4" s="4">
        <f>IF(CONFIG!C6&lt;&gt;"",CONFIG!C6,"")</f>
        <v/>
      </c>
      <c r="B4" s="9" t="n"/>
      <c r="C4" s="9">
        <f>IF(A4="",0,SUMIFS(SAISIE!$O$2:$O$501,SAISIE!$C$2:$C$501,A4))</f>
        <v/>
      </c>
      <c r="D4" s="9">
        <f>IF(OR(A4="",B4=0),"",B4-C4)</f>
        <v/>
      </c>
      <c r="E4" s="10">
        <f>IF(OR(A4="",B4=0),"",C4/B4)</f>
        <v/>
      </c>
      <c r="F4" s="4">
        <f>IF(A4="",0,COUNTIF(SAISIE!$C$2:$C$501,A4))</f>
        <v/>
      </c>
    </row>
    <row r="5">
      <c r="A5" s="4">
        <f>IF(CONFIG!C7&lt;&gt;"",CONFIG!C7,"")</f>
        <v/>
      </c>
      <c r="B5" s="9" t="n"/>
      <c r="C5" s="9">
        <f>IF(A5="",0,SUMIFS(SAISIE!$O$2:$O$501,SAISIE!$C$2:$C$501,A5))</f>
        <v/>
      </c>
      <c r="D5" s="9">
        <f>IF(OR(A5="",B5=0),"",B5-C5)</f>
        <v/>
      </c>
      <c r="E5" s="10">
        <f>IF(OR(A5="",B5=0),"",C5/B5)</f>
        <v/>
      </c>
      <c r="F5" s="4">
        <f>IF(A5="",0,COUNTIF(SAISIE!$C$2:$C$501,A5))</f>
        <v/>
      </c>
    </row>
    <row r="6">
      <c r="A6" s="4">
        <f>IF(CONFIG!C8&lt;&gt;"",CONFIG!C8,"")</f>
        <v/>
      </c>
      <c r="B6" s="9" t="n"/>
      <c r="C6" s="9">
        <f>IF(A6="",0,SUMIFS(SAISIE!$O$2:$O$501,SAISIE!$C$2:$C$501,A6))</f>
        <v/>
      </c>
      <c r="D6" s="9">
        <f>IF(OR(A6="",B6=0),"",B6-C6)</f>
        <v/>
      </c>
      <c r="E6" s="10">
        <f>IF(OR(A6="",B6=0),"",C6/B6)</f>
        <v/>
      </c>
      <c r="F6" s="4">
        <f>IF(A6="",0,COUNTIF(SAISIE!$C$2:$C$501,A6))</f>
        <v/>
      </c>
    </row>
    <row r="7">
      <c r="A7" s="4">
        <f>IF(CONFIG!C9&lt;&gt;"",CONFIG!C9,"")</f>
        <v/>
      </c>
      <c r="B7" s="9" t="n"/>
      <c r="C7" s="9">
        <f>IF(A7="",0,SUMIFS(SAISIE!$O$2:$O$501,SAISIE!$C$2:$C$501,A7))</f>
        <v/>
      </c>
      <c r="D7" s="9">
        <f>IF(OR(A7="",B7=0),"",B7-C7)</f>
        <v/>
      </c>
      <c r="E7" s="10">
        <f>IF(OR(A7="",B7=0),"",C7/B7)</f>
        <v/>
      </c>
      <c r="F7" s="4">
        <f>IF(A7="",0,COUNTIF(SAISIE!$C$2:$C$501,A7))</f>
        <v/>
      </c>
    </row>
    <row r="8">
      <c r="A8" s="4">
        <f>IF(CONFIG!C10&lt;&gt;"",CONFIG!C10,"")</f>
        <v/>
      </c>
      <c r="B8" s="9" t="n"/>
      <c r="C8" s="9">
        <f>IF(A8="",0,SUMIFS(SAISIE!$O$2:$O$501,SAISIE!$C$2:$C$501,A8))</f>
        <v/>
      </c>
      <c r="D8" s="9">
        <f>IF(OR(A8="",B8=0),"",B8-C8)</f>
        <v/>
      </c>
      <c r="E8" s="10">
        <f>IF(OR(A8="",B8=0),"",C8/B8)</f>
        <v/>
      </c>
      <c r="F8" s="4">
        <f>IF(A8="",0,COUNTIF(SAISIE!$C$2:$C$501,A8))</f>
        <v/>
      </c>
    </row>
    <row r="9">
      <c r="A9" s="4">
        <f>IF(CONFIG!C11&lt;&gt;"",CONFIG!C11,"")</f>
        <v/>
      </c>
      <c r="B9" s="9" t="n"/>
      <c r="C9" s="9">
        <f>IF(A9="",0,SUMIFS(SAISIE!$O$2:$O$501,SAISIE!$C$2:$C$501,A9))</f>
        <v/>
      </c>
      <c r="D9" s="9">
        <f>IF(OR(A9="",B9=0),"",B9-C9)</f>
        <v/>
      </c>
      <c r="E9" s="10">
        <f>IF(OR(A9="",B9=0),"",C9/B9)</f>
        <v/>
      </c>
      <c r="F9" s="4">
        <f>IF(A9="",0,COUNTIF(SAISIE!$C$2:$C$501,A9))</f>
        <v/>
      </c>
    </row>
    <row r="10">
      <c r="A10" s="4">
        <f>IF(CONFIG!C12&lt;&gt;"",CONFIG!C12,"")</f>
        <v/>
      </c>
      <c r="B10" s="9" t="n"/>
      <c r="C10" s="9">
        <f>IF(A10="",0,SUMIFS(SAISIE!$O$2:$O$501,SAISIE!$C$2:$C$501,A10))</f>
        <v/>
      </c>
      <c r="D10" s="9">
        <f>IF(OR(A10="",B10=0),"",B10-C10)</f>
        <v/>
      </c>
      <c r="E10" s="10">
        <f>IF(OR(A10="",B10=0),"",C10/B10)</f>
        <v/>
      </c>
      <c r="F10" s="4">
        <f>IF(A10="",0,COUNTIF(SAISIE!$C$2:$C$501,A10))</f>
        <v/>
      </c>
    </row>
    <row r="11">
      <c r="A11" s="4">
        <f>IF(CONFIG!C13&lt;&gt;"",CONFIG!C13,"")</f>
        <v/>
      </c>
      <c r="B11" s="9" t="n"/>
      <c r="C11" s="9">
        <f>IF(A11="",0,SUMIFS(SAISIE!$O$2:$O$501,SAISIE!$C$2:$C$501,A11))</f>
        <v/>
      </c>
      <c r="D11" s="9">
        <f>IF(OR(A11="",B11=0),"",B11-C11)</f>
        <v/>
      </c>
      <c r="E11" s="10">
        <f>IF(OR(A11="",B11=0),"",C11/B11)</f>
        <v/>
      </c>
      <c r="F11" s="4">
        <f>IF(A11="",0,COUNTIF(SAISIE!$C$2:$C$501,A11))</f>
        <v/>
      </c>
    </row>
    <row r="12">
      <c r="A12" s="4">
        <f>IF(CONFIG!C14&lt;&gt;"",CONFIG!C14,"")</f>
        <v/>
      </c>
      <c r="B12" s="9" t="n"/>
      <c r="C12" s="9">
        <f>IF(A12="",0,SUMIFS(SAISIE!$O$2:$O$501,SAISIE!$C$2:$C$501,A12))</f>
        <v/>
      </c>
      <c r="D12" s="9">
        <f>IF(OR(A12="",B12=0),"",B12-C12)</f>
        <v/>
      </c>
      <c r="E12" s="10">
        <f>IF(OR(A12="",B12=0),"",C12/B12)</f>
        <v/>
      </c>
      <c r="F12" s="4">
        <f>IF(A12="",0,COUNTIF(SAISIE!$C$2:$C$501,A12))</f>
        <v/>
      </c>
    </row>
    <row r="13">
      <c r="A13" s="4">
        <f>IF(CONFIG!C15&lt;&gt;"",CONFIG!C15,"")</f>
        <v/>
      </c>
      <c r="B13" s="9" t="n"/>
      <c r="C13" s="9">
        <f>IF(A13="",0,SUMIFS(SAISIE!$O$2:$O$501,SAISIE!$C$2:$C$501,A13))</f>
        <v/>
      </c>
      <c r="D13" s="9">
        <f>IF(OR(A13="",B13=0),"",B13-C13)</f>
        <v/>
      </c>
      <c r="E13" s="10">
        <f>IF(OR(A13="",B13=0),"",C13/B13)</f>
        <v/>
      </c>
      <c r="F13" s="4">
        <f>IF(A13="",0,COUNTIF(SAISIE!$C$2:$C$501,A13))</f>
        <v/>
      </c>
    </row>
    <row r="14">
      <c r="A14" s="4">
        <f>IF(CONFIG!C16&lt;&gt;"",CONFIG!C16,"")</f>
        <v/>
      </c>
      <c r="B14" s="9" t="n"/>
      <c r="C14" s="9">
        <f>IF(A14="",0,SUMIFS(SAISIE!$O$2:$O$501,SAISIE!$C$2:$C$501,A14))</f>
        <v/>
      </c>
      <c r="D14" s="9">
        <f>IF(OR(A14="",B14=0),"",B14-C14)</f>
        <v/>
      </c>
      <c r="E14" s="10">
        <f>IF(OR(A14="",B14=0),"",C14/B14)</f>
        <v/>
      </c>
      <c r="F14" s="4">
        <f>IF(A14="",0,COUNTIF(SAISIE!$C$2:$C$501,A14))</f>
        <v/>
      </c>
    </row>
    <row r="15">
      <c r="A15" s="4">
        <f>IF(CONFIG!C17&lt;&gt;"",CONFIG!C17,"")</f>
        <v/>
      </c>
      <c r="B15" s="9" t="n"/>
      <c r="C15" s="9">
        <f>IF(A15="",0,SUMIFS(SAISIE!$O$2:$O$501,SAISIE!$C$2:$C$501,A15))</f>
        <v/>
      </c>
      <c r="D15" s="9">
        <f>IF(OR(A15="",B15=0),"",B15-C15)</f>
        <v/>
      </c>
      <c r="E15" s="10">
        <f>IF(OR(A15="",B15=0),"",C15/B15)</f>
        <v/>
      </c>
      <c r="F15" s="4">
        <f>IF(A15="",0,COUNTIF(SAISIE!$C$2:$C$501,A15))</f>
        <v/>
      </c>
    </row>
    <row r="16">
      <c r="A16" s="4">
        <f>IF(CONFIG!C18&lt;&gt;"",CONFIG!C18,"")</f>
        <v/>
      </c>
      <c r="B16" s="9" t="n"/>
      <c r="C16" s="9">
        <f>IF(A16="",0,SUMIFS(SAISIE!$O$2:$O$501,SAISIE!$C$2:$C$501,A16))</f>
        <v/>
      </c>
      <c r="D16" s="9">
        <f>IF(OR(A16="",B16=0),"",B16-C16)</f>
        <v/>
      </c>
      <c r="E16" s="10">
        <f>IF(OR(A16="",B16=0),"",C16/B16)</f>
        <v/>
      </c>
      <c r="F16" s="4">
        <f>IF(A16="",0,COUNTIF(SAISIE!$C$2:$C$501,A16))</f>
        <v/>
      </c>
    </row>
    <row r="17">
      <c r="A17" s="4">
        <f>IF(CONFIG!C19&lt;&gt;"",CONFIG!C19,"")</f>
        <v/>
      </c>
      <c r="B17" s="9" t="n"/>
      <c r="C17" s="9">
        <f>IF(A17="",0,SUMIFS(SAISIE!$O$2:$O$501,SAISIE!$C$2:$C$501,A17))</f>
        <v/>
      </c>
      <c r="D17" s="9">
        <f>IF(OR(A17="",B17=0),"",B17-C17)</f>
        <v/>
      </c>
      <c r="E17" s="10">
        <f>IF(OR(A17="",B17=0),"",C17/B17)</f>
        <v/>
      </c>
      <c r="F17" s="4">
        <f>IF(A17="",0,COUNTIF(SAISIE!$C$2:$C$501,A17))</f>
        <v/>
      </c>
    </row>
    <row r="18">
      <c r="A18" s="4">
        <f>IF(CONFIG!C20&lt;&gt;"",CONFIG!C20,"")</f>
        <v/>
      </c>
      <c r="B18" s="9" t="n"/>
      <c r="C18" s="9">
        <f>IF(A18="",0,SUMIFS(SAISIE!$O$2:$O$501,SAISIE!$C$2:$C$501,A18))</f>
        <v/>
      </c>
      <c r="D18" s="9">
        <f>IF(OR(A18="",B18=0),"",B18-C18)</f>
        <v/>
      </c>
      <c r="E18" s="10">
        <f>IF(OR(A18="",B18=0),"",C18/B18)</f>
        <v/>
      </c>
      <c r="F18" s="4">
        <f>IF(A18="",0,COUNTIF(SAISIE!$C$2:$C$501,A18))</f>
        <v/>
      </c>
    </row>
    <row r="19">
      <c r="A19" s="4">
        <f>IF(CONFIG!C21&lt;&gt;"",CONFIG!C21,"")</f>
        <v/>
      </c>
      <c r="B19" s="9" t="n"/>
      <c r="C19" s="9">
        <f>IF(A19="",0,SUMIFS(SAISIE!$O$2:$O$501,SAISIE!$C$2:$C$501,A19))</f>
        <v/>
      </c>
      <c r="D19" s="9">
        <f>IF(OR(A19="",B19=0),"",B19-C19)</f>
        <v/>
      </c>
      <c r="E19" s="10">
        <f>IF(OR(A19="",B19=0),"",C19/B19)</f>
        <v/>
      </c>
      <c r="F19" s="4">
        <f>IF(A19="",0,COUNTIF(SAISIE!$C$2:$C$501,A19))</f>
        <v/>
      </c>
    </row>
    <row r="20">
      <c r="A20" s="4">
        <f>IF(CONFIG!C22&lt;&gt;"",CONFIG!C22,"")</f>
        <v/>
      </c>
      <c r="B20" s="9" t="n"/>
      <c r="C20" s="9">
        <f>IF(A20="",0,SUMIFS(SAISIE!$O$2:$O$501,SAISIE!$C$2:$C$501,A20))</f>
        <v/>
      </c>
      <c r="D20" s="9">
        <f>IF(OR(A20="",B20=0),"",B20-C20)</f>
        <v/>
      </c>
      <c r="E20" s="10">
        <f>IF(OR(A20="",B20=0),"",C20/B20)</f>
        <v/>
      </c>
      <c r="F20" s="4">
        <f>IF(A20="",0,COUNTIF(SAISIE!$C$2:$C$501,A20))</f>
        <v/>
      </c>
    </row>
    <row r="21">
      <c r="A21" s="4">
        <f>IF(CONFIG!C23&lt;&gt;"",CONFIG!C23,"")</f>
        <v/>
      </c>
      <c r="B21" s="9" t="n"/>
      <c r="C21" s="9">
        <f>IF(A21="",0,SUMIFS(SAISIE!$O$2:$O$501,SAISIE!$C$2:$C$501,A21))</f>
        <v/>
      </c>
      <c r="D21" s="9">
        <f>IF(OR(A21="",B21=0),"",B21-C21)</f>
        <v/>
      </c>
      <c r="E21" s="10">
        <f>IF(OR(A21="",B21=0),"",C21/B21)</f>
        <v/>
      </c>
      <c r="F21" s="4">
        <f>IF(A21="",0,COUNTIF(SAISIE!$C$2:$C$501,A21))</f>
        <v/>
      </c>
    </row>
    <row r="22">
      <c r="A22" s="4">
        <f>IF(CONFIG!C24&lt;&gt;"",CONFIG!C24,"")</f>
        <v/>
      </c>
      <c r="B22" s="9" t="n"/>
      <c r="C22" s="9">
        <f>IF(A22="",0,SUMIFS(SAISIE!$O$2:$O$501,SAISIE!$C$2:$C$501,A22))</f>
        <v/>
      </c>
      <c r="D22" s="9">
        <f>IF(OR(A22="",B22=0),"",B22-C22)</f>
        <v/>
      </c>
      <c r="E22" s="10">
        <f>IF(OR(A22="",B22=0),"",C22/B22)</f>
        <v/>
      </c>
      <c r="F22" s="4">
        <f>IF(A22="",0,COUNTIF(SAISIE!$C$2:$C$501,A22))</f>
        <v/>
      </c>
    </row>
    <row r="23">
      <c r="A23" s="4">
        <f>IF(CONFIG!C25&lt;&gt;"",CONFIG!C25,"")</f>
        <v/>
      </c>
      <c r="B23" s="9" t="n"/>
      <c r="C23" s="9">
        <f>IF(A23="",0,SUMIFS(SAISIE!$O$2:$O$501,SAISIE!$C$2:$C$501,A23))</f>
        <v/>
      </c>
      <c r="D23" s="9">
        <f>IF(OR(A23="",B23=0),"",B23-C23)</f>
        <v/>
      </c>
      <c r="E23" s="10">
        <f>IF(OR(A23="",B23=0),"",C23/B23)</f>
        <v/>
      </c>
      <c r="F23" s="4">
        <f>IF(A23="",0,COUNTIF(SAISIE!$C$2:$C$501,A23))</f>
        <v/>
      </c>
    </row>
    <row r="24">
      <c r="A24" s="4">
        <f>IF(CONFIG!C26&lt;&gt;"",CONFIG!C26,"")</f>
        <v/>
      </c>
      <c r="B24" s="9" t="n"/>
      <c r="C24" s="9">
        <f>IF(A24="",0,SUMIFS(SAISIE!$O$2:$O$501,SAISIE!$C$2:$C$501,A24))</f>
        <v/>
      </c>
      <c r="D24" s="9">
        <f>IF(OR(A24="",B24=0),"",B24-C24)</f>
        <v/>
      </c>
      <c r="E24" s="10">
        <f>IF(OR(A24="",B24=0),"",C24/B24)</f>
        <v/>
      </c>
      <c r="F24" s="4">
        <f>IF(A24="",0,COUNTIF(SAISIE!$C$2:$C$501,A24))</f>
        <v/>
      </c>
    </row>
    <row r="25">
      <c r="A25" s="4">
        <f>IF(CONFIG!C27&lt;&gt;"",CONFIG!C27,"")</f>
        <v/>
      </c>
      <c r="B25" s="9" t="n"/>
      <c r="C25" s="9">
        <f>IF(A25="",0,SUMIFS(SAISIE!$O$2:$O$501,SAISIE!$C$2:$C$501,A25))</f>
        <v/>
      </c>
      <c r="D25" s="9">
        <f>IF(OR(A25="",B25=0),"",B25-C25)</f>
        <v/>
      </c>
      <c r="E25" s="10">
        <f>IF(OR(A25="",B25=0),"",C25/B25)</f>
        <v/>
      </c>
      <c r="F25" s="4">
        <f>IF(A25="",0,COUNTIF(SAISIE!$C$2:$C$501,A25))</f>
        <v/>
      </c>
    </row>
    <row r="26">
      <c r="A26" s="4">
        <f>IF(CONFIG!C28&lt;&gt;"",CONFIG!C28,"")</f>
        <v/>
      </c>
      <c r="B26" s="9" t="n"/>
      <c r="C26" s="9">
        <f>IF(A26="",0,SUMIFS(SAISIE!$O$2:$O$501,SAISIE!$C$2:$C$501,A26))</f>
        <v/>
      </c>
      <c r="D26" s="9">
        <f>IF(OR(A26="",B26=0),"",B26-C26)</f>
        <v/>
      </c>
      <c r="E26" s="10">
        <f>IF(OR(A26="",B26=0),"",C26/B26)</f>
        <v/>
      </c>
      <c r="F26" s="4">
        <f>IF(A26="",0,COUNTIF(SAISIE!$C$2:$C$501,A26))</f>
        <v/>
      </c>
    </row>
    <row r="27">
      <c r="A27" s="4">
        <f>IF(CONFIG!C29&lt;&gt;"",CONFIG!C29,"")</f>
        <v/>
      </c>
      <c r="B27" s="9" t="n"/>
      <c r="C27" s="9">
        <f>IF(A27="",0,SUMIFS(SAISIE!$O$2:$O$501,SAISIE!$C$2:$C$501,A27))</f>
        <v/>
      </c>
      <c r="D27" s="9">
        <f>IF(OR(A27="",B27=0),"",B27-C27)</f>
        <v/>
      </c>
      <c r="E27" s="10">
        <f>IF(OR(A27="",B27=0),"",C27/B27)</f>
        <v/>
      </c>
      <c r="F27" s="4">
        <f>IF(A27="",0,COUNTIF(SAISIE!$C$2:$C$501,A27))</f>
        <v/>
      </c>
    </row>
    <row r="28">
      <c r="A28" s="4">
        <f>IF(CONFIG!C30&lt;&gt;"",CONFIG!C30,"")</f>
        <v/>
      </c>
      <c r="B28" s="9" t="n"/>
      <c r="C28" s="9">
        <f>IF(A28="",0,SUMIFS(SAISIE!$O$2:$O$501,SAISIE!$C$2:$C$501,A28))</f>
        <v/>
      </c>
      <c r="D28" s="9">
        <f>IF(OR(A28="",B28=0),"",B28-C28)</f>
        <v/>
      </c>
      <c r="E28" s="10">
        <f>IF(OR(A28="",B28=0),"",C28/B28)</f>
        <v/>
      </c>
      <c r="F28" s="4">
        <f>IF(A28="",0,COUNTIF(SAISIE!$C$2:$C$501,A28))</f>
        <v/>
      </c>
    </row>
    <row r="29">
      <c r="A29" s="4">
        <f>IF(CONFIG!C31&lt;&gt;"",CONFIG!C31,"")</f>
        <v/>
      </c>
      <c r="B29" s="9" t="n"/>
      <c r="C29" s="9">
        <f>IF(A29="",0,SUMIFS(SAISIE!$O$2:$O$501,SAISIE!$C$2:$C$501,A29))</f>
        <v/>
      </c>
      <c r="D29" s="9">
        <f>IF(OR(A29="",B29=0),"",B29-C29)</f>
        <v/>
      </c>
      <c r="E29" s="10">
        <f>IF(OR(A29="",B29=0),"",C29/B29)</f>
        <v/>
      </c>
      <c r="F29" s="4">
        <f>IF(A29="",0,COUNTIF(SAISIE!$C$2:$C$501,A29))</f>
        <v/>
      </c>
    </row>
    <row r="30">
      <c r="A30" s="4">
        <f>IF(CONFIG!C32&lt;&gt;"",CONFIG!C32,"")</f>
        <v/>
      </c>
      <c r="B30" s="9" t="n"/>
      <c r="C30" s="9">
        <f>IF(A30="",0,SUMIFS(SAISIE!$O$2:$O$501,SAISIE!$C$2:$C$501,A30))</f>
        <v/>
      </c>
      <c r="D30" s="9">
        <f>IF(OR(A30="",B30=0),"",B30-C30)</f>
        <v/>
      </c>
      <c r="E30" s="10">
        <f>IF(OR(A30="",B30=0),"",C30/B30)</f>
        <v/>
      </c>
      <c r="F30" s="4">
        <f>IF(A30="",0,COUNTIF(SAISIE!$C$2:$C$501,A30))</f>
        <v/>
      </c>
    </row>
    <row r="31">
      <c r="A31" s="4">
        <f>IF(CONFIG!C33&lt;&gt;"",CONFIG!C33,"")</f>
        <v/>
      </c>
      <c r="B31" s="9" t="n"/>
      <c r="C31" s="9">
        <f>IF(A31="",0,SUMIFS(SAISIE!$O$2:$O$501,SAISIE!$C$2:$C$501,A31))</f>
        <v/>
      </c>
      <c r="D31" s="9">
        <f>IF(OR(A31="",B31=0),"",B31-C31)</f>
        <v/>
      </c>
      <c r="E31" s="10">
        <f>IF(OR(A31="",B31=0),"",C31/B31)</f>
        <v/>
      </c>
      <c r="F31" s="4">
        <f>IF(A31="",0,COUNTIF(SAISIE!$C$2:$C$501,A31))</f>
        <v/>
      </c>
    </row>
    <row r="32">
      <c r="A32" s="4">
        <f>IF(CONFIG!C34&lt;&gt;"",CONFIG!C34,"")</f>
        <v/>
      </c>
      <c r="B32" s="9" t="n"/>
      <c r="C32" s="9">
        <f>IF(A32="",0,SUMIFS(SAISIE!$O$2:$O$501,SAISIE!$C$2:$C$501,A32))</f>
        <v/>
      </c>
      <c r="D32" s="9">
        <f>IF(OR(A32="",B32=0),"",B32-C32)</f>
        <v/>
      </c>
      <c r="E32" s="10">
        <f>IF(OR(A32="",B32=0),"",C32/B32)</f>
        <v/>
      </c>
      <c r="F32" s="4">
        <f>IF(A32="",0,COUNTIF(SAISIE!$C$2:$C$501,A32))</f>
        <v/>
      </c>
    </row>
    <row r="33">
      <c r="A33" s="13" t="inlineStr">
        <is>
          <t>TOTAL</t>
        </is>
      </c>
      <c r="B33" s="14">
        <f>SUM(B3:B32)</f>
        <v/>
      </c>
      <c r="C33" s="14">
        <f>SUM(C3:C32)</f>
        <v/>
      </c>
      <c r="D33" s="14">
        <f>IFERROR(B33-C33,"")</f>
        <v/>
      </c>
      <c r="E33" s="15">
        <f>IFERROR(C33/B33,"")</f>
        <v/>
      </c>
      <c r="F33" s="13">
        <f>SUM(F3:F32)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SUIVI PAR BATIMENT</t>
        </is>
      </c>
    </row>
    <row r="2">
      <c r="A2" s="7" t="inlineStr">
        <is>
          <t>Batiment</t>
        </is>
      </c>
      <c r="B2" s="7" t="inlineStr">
        <is>
          <t>Dose totale (mSv)</t>
        </is>
      </c>
      <c r="C2" s="7" t="inlineStr">
        <is>
          <t>Demi-journees</t>
        </is>
      </c>
      <c r="D2" s="7" t="inlineStr">
        <is>
          <t>Jours-Homme</t>
        </is>
      </c>
      <c r="E2" s="7" t="inlineStr">
        <is>
          <t>Jours Calendrier</t>
        </is>
      </c>
    </row>
    <row r="3">
      <c r="A3" s="4">
        <f>IF(CONFIG!E5&lt;&gt;"",CONFIG!E5,"")</f>
        <v/>
      </c>
      <c r="B3" s="9">
        <f>IF(A3="",0,SUMIFS(SAISIE!$O$2:$O$501,SAISIE!$D$2:$D$501,A3))</f>
        <v/>
      </c>
      <c r="C3" s="4">
        <f>IF(A3="",0,COUNTIF(SAISIE!$D$2:$D$501,A3))</f>
        <v/>
      </c>
      <c r="D3" s="4">
        <f>IFERROR(SUMPRODUCT((SAISIE!$D$2:$D$501=A3)*((SAISIE!$E$2:$E$501&gt;0)+(SAISIE!$F$2:$F$501&gt;0)+(SAISIE!$G$2:$G$501&gt;0)+(SAISIE!$H$2:$H$501&gt;0)+(SAISIE!$I$2:$I$501&gt;0)+(SAISIE!$J$2:$J$501&gt;0)+(SAISIE!$K$2:$K$501&gt;0)+(SAISIE!$L$2:$L$501&gt;0)+(SAISIE!$M$2:$M$501&gt;0)+(SAISIE!$N$2:$N$501&gt;0))),0)</f>
        <v/>
      </c>
      <c r="E3" s="4">
        <f>IFERROR(SUMPRODUCT((SAISIE!$D$2:$D$501=A3)/(COUNTIFS(SAISIE!$A$2:$A$501,SAISIE!$A$2:$A$501,SAISIE!$D$2:$D$501,A3)+((SAISIE!$D$2:$D$501&lt;&gt;A3)*1E9))),0)</f>
        <v/>
      </c>
    </row>
    <row r="4">
      <c r="A4" s="4">
        <f>IF(CONFIG!E6&lt;&gt;"",CONFIG!E6,"")</f>
        <v/>
      </c>
      <c r="B4" s="9">
        <f>IF(A4="",0,SUMIFS(SAISIE!$O$2:$O$501,SAISIE!$D$2:$D$501,A4))</f>
        <v/>
      </c>
      <c r="C4" s="4">
        <f>IF(A4="",0,COUNTIF(SAISIE!$D$2:$D$501,A4))</f>
        <v/>
      </c>
      <c r="D4" s="4">
        <f>IFERROR(SUMPRODUCT((SAISIE!$D$2:$D$501=A4)*((SAISIE!$E$2:$E$501&gt;0)+(SAISIE!$F$2:$F$501&gt;0)+(SAISIE!$G$2:$G$501&gt;0)+(SAISIE!$H$2:$H$501&gt;0)+(SAISIE!$I$2:$I$501&gt;0)+(SAISIE!$J$2:$J$501&gt;0)+(SAISIE!$K$2:$K$501&gt;0)+(SAISIE!$L$2:$L$501&gt;0)+(SAISIE!$M$2:$M$501&gt;0)+(SAISIE!$N$2:$N$501&gt;0))),0)</f>
        <v/>
      </c>
      <c r="E4" s="4">
        <f>IFERROR(SUMPRODUCT((SAISIE!$D$2:$D$501=A4)/(COUNTIFS(SAISIE!$A$2:$A$501,SAISIE!$A$2:$A$501,SAISIE!$D$2:$D$501,A4)+((SAISIE!$D$2:$D$501&lt;&gt;A4)*1E9))),0)</f>
        <v/>
      </c>
    </row>
    <row r="5">
      <c r="A5" s="4">
        <f>IF(CONFIG!E7&lt;&gt;"",CONFIG!E7,"")</f>
        <v/>
      </c>
      <c r="B5" s="9">
        <f>IF(A5="",0,SUMIFS(SAISIE!$O$2:$O$501,SAISIE!$D$2:$D$501,A5))</f>
        <v/>
      </c>
      <c r="C5" s="4">
        <f>IF(A5="",0,COUNTIF(SAISIE!$D$2:$D$501,A5))</f>
        <v/>
      </c>
      <c r="D5" s="4">
        <f>IFERROR(SUMPRODUCT((SAISIE!$D$2:$D$501=A5)*((SAISIE!$E$2:$E$501&gt;0)+(SAISIE!$F$2:$F$501&gt;0)+(SAISIE!$G$2:$G$501&gt;0)+(SAISIE!$H$2:$H$501&gt;0)+(SAISIE!$I$2:$I$501&gt;0)+(SAISIE!$J$2:$J$501&gt;0)+(SAISIE!$K$2:$K$501&gt;0)+(SAISIE!$L$2:$L$501&gt;0)+(SAISIE!$M$2:$M$501&gt;0)+(SAISIE!$N$2:$N$501&gt;0))),0)</f>
        <v/>
      </c>
      <c r="E5" s="4">
        <f>IFERROR(SUMPRODUCT((SAISIE!$D$2:$D$501=A5)/(COUNTIFS(SAISIE!$A$2:$A$501,SAISIE!$A$2:$A$501,SAISIE!$D$2:$D$501,A5)+((SAISIE!$D$2:$D$501&lt;&gt;A5)*1E9))),0)</f>
        <v/>
      </c>
    </row>
    <row r="6">
      <c r="A6" s="4">
        <f>IF(CONFIG!E8&lt;&gt;"",CONFIG!E8,"")</f>
        <v/>
      </c>
      <c r="B6" s="9">
        <f>IF(A6="",0,SUMIFS(SAISIE!$O$2:$O$501,SAISIE!$D$2:$D$501,A6))</f>
        <v/>
      </c>
      <c r="C6" s="4">
        <f>IF(A6="",0,COUNTIF(SAISIE!$D$2:$D$501,A6))</f>
        <v/>
      </c>
      <c r="D6" s="4">
        <f>IFERROR(SUMPRODUCT((SAISIE!$D$2:$D$501=A6)*((SAISIE!$E$2:$E$501&gt;0)+(SAISIE!$F$2:$F$501&gt;0)+(SAISIE!$G$2:$G$501&gt;0)+(SAISIE!$H$2:$H$501&gt;0)+(SAISIE!$I$2:$I$501&gt;0)+(SAISIE!$J$2:$J$501&gt;0)+(SAISIE!$K$2:$K$501&gt;0)+(SAISIE!$L$2:$L$501&gt;0)+(SAISIE!$M$2:$M$501&gt;0)+(SAISIE!$N$2:$N$501&gt;0))),0)</f>
        <v/>
      </c>
      <c r="E6" s="4">
        <f>IFERROR(SUMPRODUCT((SAISIE!$D$2:$D$501=A6)/(COUNTIFS(SAISIE!$A$2:$A$501,SAISIE!$A$2:$A$501,SAISIE!$D$2:$D$501,A6)+((SAISIE!$D$2:$D$501&lt;&gt;A6)*1E9))),0)</f>
        <v/>
      </c>
    </row>
    <row r="7">
      <c r="A7" s="4">
        <f>IF(CONFIG!E9&lt;&gt;"",CONFIG!E9,"")</f>
        <v/>
      </c>
      <c r="B7" s="9">
        <f>IF(A7="",0,SUMIFS(SAISIE!$O$2:$O$501,SAISIE!$D$2:$D$501,A7))</f>
        <v/>
      </c>
      <c r="C7" s="4">
        <f>IF(A7="",0,COUNTIF(SAISIE!$D$2:$D$501,A7))</f>
        <v/>
      </c>
      <c r="D7" s="4">
        <f>IFERROR(SUMPRODUCT((SAISIE!$D$2:$D$501=A7)*((SAISIE!$E$2:$E$501&gt;0)+(SAISIE!$F$2:$F$501&gt;0)+(SAISIE!$G$2:$G$501&gt;0)+(SAISIE!$H$2:$H$501&gt;0)+(SAISIE!$I$2:$I$501&gt;0)+(SAISIE!$J$2:$J$501&gt;0)+(SAISIE!$K$2:$K$501&gt;0)+(SAISIE!$L$2:$L$501&gt;0)+(SAISIE!$M$2:$M$501&gt;0)+(SAISIE!$N$2:$N$501&gt;0))),0)</f>
        <v/>
      </c>
      <c r="E7" s="4">
        <f>IFERROR(SUMPRODUCT((SAISIE!$D$2:$D$501=A7)/(COUNTIFS(SAISIE!$A$2:$A$501,SAISIE!$A$2:$A$501,SAISIE!$D$2:$D$501,A7)+((SAISIE!$D$2:$D$501&lt;&gt;A7)*1E9))),0)</f>
        <v/>
      </c>
    </row>
    <row r="8">
      <c r="A8" s="4">
        <f>IF(CONFIG!E10&lt;&gt;"",CONFIG!E10,"")</f>
        <v/>
      </c>
      <c r="B8" s="9">
        <f>IF(A8="",0,SUMIFS(SAISIE!$O$2:$O$501,SAISIE!$D$2:$D$501,A8))</f>
        <v/>
      </c>
      <c r="C8" s="4">
        <f>IF(A8="",0,COUNTIF(SAISIE!$D$2:$D$501,A8))</f>
        <v/>
      </c>
      <c r="D8" s="4">
        <f>IFERROR(SUMPRODUCT((SAISIE!$D$2:$D$501=A8)*((SAISIE!$E$2:$E$501&gt;0)+(SAISIE!$F$2:$F$501&gt;0)+(SAISIE!$G$2:$G$501&gt;0)+(SAISIE!$H$2:$H$501&gt;0)+(SAISIE!$I$2:$I$501&gt;0)+(SAISIE!$J$2:$J$501&gt;0)+(SAISIE!$K$2:$K$501&gt;0)+(SAISIE!$L$2:$L$501&gt;0)+(SAISIE!$M$2:$M$501&gt;0)+(SAISIE!$N$2:$N$501&gt;0))),0)</f>
        <v/>
      </c>
      <c r="E8" s="4">
        <f>IFERROR(SUMPRODUCT((SAISIE!$D$2:$D$501=A8)/(COUNTIFS(SAISIE!$A$2:$A$501,SAISIE!$A$2:$A$501,SAISIE!$D$2:$D$501,A8)+((SAISIE!$D$2:$D$501&lt;&gt;A8)*1E9))),0)</f>
        <v/>
      </c>
    </row>
    <row r="9">
      <c r="A9" s="4">
        <f>IF(CONFIG!E11&lt;&gt;"",CONFIG!E11,"")</f>
        <v/>
      </c>
      <c r="B9" s="9">
        <f>IF(A9="",0,SUMIFS(SAISIE!$O$2:$O$501,SAISIE!$D$2:$D$501,A9))</f>
        <v/>
      </c>
      <c r="C9" s="4">
        <f>IF(A9="",0,COUNTIF(SAISIE!$D$2:$D$501,A9))</f>
        <v/>
      </c>
      <c r="D9" s="4">
        <f>IFERROR(SUMPRODUCT((SAISIE!$D$2:$D$501=A9)*((SAISIE!$E$2:$E$501&gt;0)+(SAISIE!$F$2:$F$501&gt;0)+(SAISIE!$G$2:$G$501&gt;0)+(SAISIE!$H$2:$H$501&gt;0)+(SAISIE!$I$2:$I$501&gt;0)+(SAISIE!$J$2:$J$501&gt;0)+(SAISIE!$K$2:$K$501&gt;0)+(SAISIE!$L$2:$L$501&gt;0)+(SAISIE!$M$2:$M$501&gt;0)+(SAISIE!$N$2:$N$501&gt;0))),0)</f>
        <v/>
      </c>
      <c r="E9" s="4">
        <f>IFERROR(SUMPRODUCT((SAISIE!$D$2:$D$501=A9)/(COUNTIFS(SAISIE!$A$2:$A$501,SAISIE!$A$2:$A$501,SAISIE!$D$2:$D$501,A9)+((SAISIE!$D$2:$D$501&lt;&gt;A9)*1E9))),0)</f>
        <v/>
      </c>
    </row>
    <row r="10">
      <c r="A10" s="4">
        <f>IF(CONFIG!E12&lt;&gt;"",CONFIG!E12,"")</f>
        <v/>
      </c>
      <c r="B10" s="9">
        <f>IF(A10="",0,SUMIFS(SAISIE!$O$2:$O$501,SAISIE!$D$2:$D$501,A10))</f>
        <v/>
      </c>
      <c r="C10" s="4">
        <f>IF(A10="",0,COUNTIF(SAISIE!$D$2:$D$501,A10))</f>
        <v/>
      </c>
      <c r="D10" s="4">
        <f>IFERROR(SUMPRODUCT((SAISIE!$D$2:$D$501=A10)*((SAISIE!$E$2:$E$501&gt;0)+(SAISIE!$F$2:$F$501&gt;0)+(SAISIE!$G$2:$G$501&gt;0)+(SAISIE!$H$2:$H$501&gt;0)+(SAISIE!$I$2:$I$501&gt;0)+(SAISIE!$J$2:$J$501&gt;0)+(SAISIE!$K$2:$K$501&gt;0)+(SAISIE!$L$2:$L$501&gt;0)+(SAISIE!$M$2:$M$501&gt;0)+(SAISIE!$N$2:$N$501&gt;0))),0)</f>
        <v/>
      </c>
      <c r="E10" s="4">
        <f>IFERROR(SUMPRODUCT((SAISIE!$D$2:$D$501=A10)/(COUNTIFS(SAISIE!$A$2:$A$501,SAISIE!$A$2:$A$501,SAISIE!$D$2:$D$501,A10)+((SAISIE!$D$2:$D$501&lt;&gt;A10)*1E9))),0)</f>
        <v/>
      </c>
    </row>
    <row r="11">
      <c r="A11" s="4">
        <f>IF(CONFIG!E13&lt;&gt;"",CONFIG!E13,"")</f>
        <v/>
      </c>
      <c r="B11" s="9">
        <f>IF(A11="",0,SUMIFS(SAISIE!$O$2:$O$501,SAISIE!$D$2:$D$501,A11))</f>
        <v/>
      </c>
      <c r="C11" s="4">
        <f>IF(A11="",0,COUNTIF(SAISIE!$D$2:$D$501,A11))</f>
        <v/>
      </c>
      <c r="D11" s="4">
        <f>IFERROR(SUMPRODUCT((SAISIE!$D$2:$D$501=A11)*((SAISIE!$E$2:$E$501&gt;0)+(SAISIE!$F$2:$F$501&gt;0)+(SAISIE!$G$2:$G$501&gt;0)+(SAISIE!$H$2:$H$501&gt;0)+(SAISIE!$I$2:$I$501&gt;0)+(SAISIE!$J$2:$J$501&gt;0)+(SAISIE!$K$2:$K$501&gt;0)+(SAISIE!$L$2:$L$501&gt;0)+(SAISIE!$M$2:$M$501&gt;0)+(SAISIE!$N$2:$N$501&gt;0))),0)</f>
        <v/>
      </c>
      <c r="E11" s="4">
        <f>IFERROR(SUMPRODUCT((SAISIE!$D$2:$D$501=A11)/(COUNTIFS(SAISIE!$A$2:$A$501,SAISIE!$A$2:$A$501,SAISIE!$D$2:$D$501,A11)+((SAISIE!$D$2:$D$501&lt;&gt;A11)*1E9))),0)</f>
        <v/>
      </c>
    </row>
    <row r="12">
      <c r="A12" s="4">
        <f>IF(CONFIG!E14&lt;&gt;"",CONFIG!E14,"")</f>
        <v/>
      </c>
      <c r="B12" s="9">
        <f>IF(A12="",0,SUMIFS(SAISIE!$O$2:$O$501,SAISIE!$D$2:$D$501,A12))</f>
        <v/>
      </c>
      <c r="C12" s="4">
        <f>IF(A12="",0,COUNTIF(SAISIE!$D$2:$D$501,A12))</f>
        <v/>
      </c>
      <c r="D12" s="4">
        <f>IFERROR(SUMPRODUCT((SAISIE!$D$2:$D$501=A12)*((SAISIE!$E$2:$E$501&gt;0)+(SAISIE!$F$2:$F$501&gt;0)+(SAISIE!$G$2:$G$501&gt;0)+(SAISIE!$H$2:$H$501&gt;0)+(SAISIE!$I$2:$I$501&gt;0)+(SAISIE!$J$2:$J$501&gt;0)+(SAISIE!$K$2:$K$501&gt;0)+(SAISIE!$L$2:$L$501&gt;0)+(SAISIE!$M$2:$M$501&gt;0)+(SAISIE!$N$2:$N$501&gt;0))),0)</f>
        <v/>
      </c>
      <c r="E12" s="4">
        <f>IFERROR(SUMPRODUCT((SAISIE!$D$2:$D$501=A12)/(COUNTIFS(SAISIE!$A$2:$A$501,SAISIE!$A$2:$A$501,SAISIE!$D$2:$D$501,A12)+((SAISIE!$D$2:$D$501&lt;&gt;A12)*1E9))),0)</f>
        <v/>
      </c>
    </row>
    <row r="13">
      <c r="A13" s="4">
        <f>IF(CONFIG!E15&lt;&gt;"",CONFIG!E15,"")</f>
        <v/>
      </c>
      <c r="B13" s="9">
        <f>IF(A13="",0,SUMIFS(SAISIE!$O$2:$O$501,SAISIE!$D$2:$D$501,A13))</f>
        <v/>
      </c>
      <c r="C13" s="4">
        <f>IF(A13="",0,COUNTIF(SAISIE!$D$2:$D$501,A13))</f>
        <v/>
      </c>
      <c r="D13" s="4">
        <f>IFERROR(SUMPRODUCT((SAISIE!$D$2:$D$501=A13)*((SAISIE!$E$2:$E$501&gt;0)+(SAISIE!$F$2:$F$501&gt;0)+(SAISIE!$G$2:$G$501&gt;0)+(SAISIE!$H$2:$H$501&gt;0)+(SAISIE!$I$2:$I$501&gt;0)+(SAISIE!$J$2:$J$501&gt;0)+(SAISIE!$K$2:$K$501&gt;0)+(SAISIE!$L$2:$L$501&gt;0)+(SAISIE!$M$2:$M$501&gt;0)+(SAISIE!$N$2:$N$501&gt;0))),0)</f>
        <v/>
      </c>
      <c r="E13" s="4">
        <f>IFERROR(SUMPRODUCT((SAISIE!$D$2:$D$501=A13)/(COUNTIFS(SAISIE!$A$2:$A$501,SAISIE!$A$2:$A$501,SAISIE!$D$2:$D$501,A13)+((SAISIE!$D$2:$D$501&lt;&gt;A13)*1E9))),0)</f>
        <v/>
      </c>
    </row>
    <row r="14">
      <c r="A14" s="4">
        <f>IF(CONFIG!E16&lt;&gt;"",CONFIG!E16,"")</f>
        <v/>
      </c>
      <c r="B14" s="9">
        <f>IF(A14="",0,SUMIFS(SAISIE!$O$2:$O$501,SAISIE!$D$2:$D$501,A14))</f>
        <v/>
      </c>
      <c r="C14" s="4">
        <f>IF(A14="",0,COUNTIF(SAISIE!$D$2:$D$501,A14))</f>
        <v/>
      </c>
      <c r="D14" s="4">
        <f>IFERROR(SUMPRODUCT((SAISIE!$D$2:$D$501=A14)*((SAISIE!$E$2:$E$501&gt;0)+(SAISIE!$F$2:$F$501&gt;0)+(SAISIE!$G$2:$G$501&gt;0)+(SAISIE!$H$2:$H$501&gt;0)+(SAISIE!$I$2:$I$501&gt;0)+(SAISIE!$J$2:$J$501&gt;0)+(SAISIE!$K$2:$K$501&gt;0)+(SAISIE!$L$2:$L$501&gt;0)+(SAISIE!$M$2:$M$501&gt;0)+(SAISIE!$N$2:$N$501&gt;0))),0)</f>
        <v/>
      </c>
      <c r="E14" s="4">
        <f>IFERROR(SUMPRODUCT((SAISIE!$D$2:$D$501=A14)/(COUNTIFS(SAISIE!$A$2:$A$501,SAISIE!$A$2:$A$501,SAISIE!$D$2:$D$501,A14)+((SAISIE!$D$2:$D$501&lt;&gt;A14)*1E9))),0)</f>
        <v/>
      </c>
    </row>
    <row r="15">
      <c r="A15" s="4">
        <f>IF(CONFIG!E17&lt;&gt;"",CONFIG!E17,"")</f>
        <v/>
      </c>
      <c r="B15" s="9">
        <f>IF(A15="",0,SUMIFS(SAISIE!$O$2:$O$501,SAISIE!$D$2:$D$501,A15))</f>
        <v/>
      </c>
      <c r="C15" s="4">
        <f>IF(A15="",0,COUNTIF(SAISIE!$D$2:$D$501,A15))</f>
        <v/>
      </c>
      <c r="D15" s="4">
        <f>IFERROR(SUMPRODUCT((SAISIE!$D$2:$D$501=A15)*((SAISIE!$E$2:$E$501&gt;0)+(SAISIE!$F$2:$F$501&gt;0)+(SAISIE!$G$2:$G$501&gt;0)+(SAISIE!$H$2:$H$501&gt;0)+(SAISIE!$I$2:$I$501&gt;0)+(SAISIE!$J$2:$J$501&gt;0)+(SAISIE!$K$2:$K$501&gt;0)+(SAISIE!$L$2:$L$501&gt;0)+(SAISIE!$M$2:$M$501&gt;0)+(SAISIE!$N$2:$N$501&gt;0))),0)</f>
        <v/>
      </c>
      <c r="E15" s="4">
        <f>IFERROR(SUMPRODUCT((SAISIE!$D$2:$D$501=A15)/(COUNTIFS(SAISIE!$A$2:$A$501,SAISIE!$A$2:$A$501,SAISIE!$D$2:$D$501,A15)+((SAISIE!$D$2:$D$501&lt;&gt;A15)*1E9))),0)</f>
        <v/>
      </c>
    </row>
    <row r="16">
      <c r="A16" s="4">
        <f>IF(CONFIG!E18&lt;&gt;"",CONFIG!E18,"")</f>
        <v/>
      </c>
      <c r="B16" s="9">
        <f>IF(A16="",0,SUMIFS(SAISIE!$O$2:$O$501,SAISIE!$D$2:$D$501,A16))</f>
        <v/>
      </c>
      <c r="C16" s="4">
        <f>IF(A16="",0,COUNTIF(SAISIE!$D$2:$D$501,A16))</f>
        <v/>
      </c>
      <c r="D16" s="4">
        <f>IFERROR(SUMPRODUCT((SAISIE!$D$2:$D$501=A16)*((SAISIE!$E$2:$E$501&gt;0)+(SAISIE!$F$2:$F$501&gt;0)+(SAISIE!$G$2:$G$501&gt;0)+(SAISIE!$H$2:$H$501&gt;0)+(SAISIE!$I$2:$I$501&gt;0)+(SAISIE!$J$2:$J$501&gt;0)+(SAISIE!$K$2:$K$501&gt;0)+(SAISIE!$L$2:$L$501&gt;0)+(SAISIE!$M$2:$M$501&gt;0)+(SAISIE!$N$2:$N$501&gt;0))),0)</f>
        <v/>
      </c>
      <c r="E16" s="4">
        <f>IFERROR(SUMPRODUCT((SAISIE!$D$2:$D$501=A16)/(COUNTIFS(SAISIE!$A$2:$A$501,SAISIE!$A$2:$A$501,SAISIE!$D$2:$D$501,A16)+((SAISIE!$D$2:$D$501&lt;&gt;A16)*1E9))),0)</f>
        <v/>
      </c>
    </row>
    <row r="17">
      <c r="A17" s="4">
        <f>IF(CONFIG!E19&lt;&gt;"",CONFIG!E19,"")</f>
        <v/>
      </c>
      <c r="B17" s="9">
        <f>IF(A17="",0,SUMIFS(SAISIE!$O$2:$O$501,SAISIE!$D$2:$D$501,A17))</f>
        <v/>
      </c>
      <c r="C17" s="4">
        <f>IF(A17="",0,COUNTIF(SAISIE!$D$2:$D$501,A17))</f>
        <v/>
      </c>
      <c r="D17" s="4">
        <f>IFERROR(SUMPRODUCT((SAISIE!$D$2:$D$501=A17)*((SAISIE!$E$2:$E$501&gt;0)+(SAISIE!$F$2:$F$501&gt;0)+(SAISIE!$G$2:$G$501&gt;0)+(SAISIE!$H$2:$H$501&gt;0)+(SAISIE!$I$2:$I$501&gt;0)+(SAISIE!$J$2:$J$501&gt;0)+(SAISIE!$K$2:$K$501&gt;0)+(SAISIE!$L$2:$L$501&gt;0)+(SAISIE!$M$2:$M$501&gt;0)+(SAISIE!$N$2:$N$501&gt;0))),0)</f>
        <v/>
      </c>
      <c r="E17" s="4">
        <f>IFERROR(SUMPRODUCT((SAISIE!$D$2:$D$501=A17)/(COUNTIFS(SAISIE!$A$2:$A$501,SAISIE!$A$2:$A$501,SAISIE!$D$2:$D$501,A17)+((SAISIE!$D$2:$D$501&lt;&gt;A17)*1E9))),0)</f>
        <v/>
      </c>
    </row>
    <row r="18">
      <c r="A18" s="4">
        <f>IF(CONFIG!E20&lt;&gt;"",CONFIG!E20,"")</f>
        <v/>
      </c>
      <c r="B18" s="9">
        <f>IF(A18="",0,SUMIFS(SAISIE!$O$2:$O$501,SAISIE!$D$2:$D$501,A18))</f>
        <v/>
      </c>
      <c r="C18" s="4">
        <f>IF(A18="",0,COUNTIF(SAISIE!$D$2:$D$501,A18))</f>
        <v/>
      </c>
      <c r="D18" s="4">
        <f>IFERROR(SUMPRODUCT((SAISIE!$D$2:$D$501=A18)*((SAISIE!$E$2:$E$501&gt;0)+(SAISIE!$F$2:$F$501&gt;0)+(SAISIE!$G$2:$G$501&gt;0)+(SAISIE!$H$2:$H$501&gt;0)+(SAISIE!$I$2:$I$501&gt;0)+(SAISIE!$J$2:$J$501&gt;0)+(SAISIE!$K$2:$K$501&gt;0)+(SAISIE!$L$2:$L$501&gt;0)+(SAISIE!$M$2:$M$501&gt;0)+(SAISIE!$N$2:$N$501&gt;0))),0)</f>
        <v/>
      </c>
      <c r="E18" s="4">
        <f>IFERROR(SUMPRODUCT((SAISIE!$D$2:$D$501=A18)/(COUNTIFS(SAISIE!$A$2:$A$501,SAISIE!$A$2:$A$501,SAISIE!$D$2:$D$501,A18)+((SAISIE!$D$2:$D$501&lt;&gt;A18)*1E9))),0)</f>
        <v/>
      </c>
    </row>
    <row r="19">
      <c r="A19" s="4">
        <f>IF(CONFIG!E21&lt;&gt;"",CONFIG!E21,"")</f>
        <v/>
      </c>
      <c r="B19" s="9">
        <f>IF(A19="",0,SUMIFS(SAISIE!$O$2:$O$501,SAISIE!$D$2:$D$501,A19))</f>
        <v/>
      </c>
      <c r="C19" s="4">
        <f>IF(A19="",0,COUNTIF(SAISIE!$D$2:$D$501,A19))</f>
        <v/>
      </c>
      <c r="D19" s="4">
        <f>IFERROR(SUMPRODUCT((SAISIE!$D$2:$D$501=A19)*((SAISIE!$E$2:$E$501&gt;0)+(SAISIE!$F$2:$F$501&gt;0)+(SAISIE!$G$2:$G$501&gt;0)+(SAISIE!$H$2:$H$501&gt;0)+(SAISIE!$I$2:$I$501&gt;0)+(SAISIE!$J$2:$J$501&gt;0)+(SAISIE!$K$2:$K$501&gt;0)+(SAISIE!$L$2:$L$501&gt;0)+(SAISIE!$M$2:$M$501&gt;0)+(SAISIE!$N$2:$N$501&gt;0))),0)</f>
        <v/>
      </c>
      <c r="E19" s="4">
        <f>IFERROR(SUMPRODUCT((SAISIE!$D$2:$D$501=A19)/(COUNTIFS(SAISIE!$A$2:$A$501,SAISIE!$A$2:$A$501,SAISIE!$D$2:$D$501,A19)+((SAISIE!$D$2:$D$501&lt;&gt;A19)*1E9))),0)</f>
        <v/>
      </c>
    </row>
    <row r="20">
      <c r="A20" s="4">
        <f>IF(CONFIG!E22&lt;&gt;"",CONFIG!E22,"")</f>
        <v/>
      </c>
      <c r="B20" s="9">
        <f>IF(A20="",0,SUMIFS(SAISIE!$O$2:$O$501,SAISIE!$D$2:$D$501,A20))</f>
        <v/>
      </c>
      <c r="C20" s="4">
        <f>IF(A20="",0,COUNTIF(SAISIE!$D$2:$D$501,A20))</f>
        <v/>
      </c>
      <c r="D20" s="4">
        <f>IFERROR(SUMPRODUCT((SAISIE!$D$2:$D$501=A20)*((SAISIE!$E$2:$E$501&gt;0)+(SAISIE!$F$2:$F$501&gt;0)+(SAISIE!$G$2:$G$501&gt;0)+(SAISIE!$H$2:$H$501&gt;0)+(SAISIE!$I$2:$I$501&gt;0)+(SAISIE!$J$2:$J$501&gt;0)+(SAISIE!$K$2:$K$501&gt;0)+(SAISIE!$L$2:$L$501&gt;0)+(SAISIE!$M$2:$M$501&gt;0)+(SAISIE!$N$2:$N$501&gt;0))),0)</f>
        <v/>
      </c>
      <c r="E20" s="4">
        <f>IFERROR(SUMPRODUCT((SAISIE!$D$2:$D$501=A20)/(COUNTIFS(SAISIE!$A$2:$A$501,SAISIE!$A$2:$A$501,SAISIE!$D$2:$D$501,A20)+((SAISIE!$D$2:$D$501&lt;&gt;A20)*1E9))),0)</f>
        <v/>
      </c>
    </row>
    <row r="21">
      <c r="A21" s="4">
        <f>IF(CONFIG!E23&lt;&gt;"",CONFIG!E23,"")</f>
        <v/>
      </c>
      <c r="B21" s="9">
        <f>IF(A21="",0,SUMIFS(SAISIE!$O$2:$O$501,SAISIE!$D$2:$D$501,A21))</f>
        <v/>
      </c>
      <c r="C21" s="4">
        <f>IF(A21="",0,COUNTIF(SAISIE!$D$2:$D$501,A21))</f>
        <v/>
      </c>
      <c r="D21" s="4">
        <f>IFERROR(SUMPRODUCT((SAISIE!$D$2:$D$501=A21)*((SAISIE!$E$2:$E$501&gt;0)+(SAISIE!$F$2:$F$501&gt;0)+(SAISIE!$G$2:$G$501&gt;0)+(SAISIE!$H$2:$H$501&gt;0)+(SAISIE!$I$2:$I$501&gt;0)+(SAISIE!$J$2:$J$501&gt;0)+(SAISIE!$K$2:$K$501&gt;0)+(SAISIE!$L$2:$L$501&gt;0)+(SAISIE!$M$2:$M$501&gt;0)+(SAISIE!$N$2:$N$501&gt;0))),0)</f>
        <v/>
      </c>
      <c r="E21" s="4">
        <f>IFERROR(SUMPRODUCT((SAISIE!$D$2:$D$501=A21)/(COUNTIFS(SAISIE!$A$2:$A$501,SAISIE!$A$2:$A$501,SAISIE!$D$2:$D$501,A21)+((SAISIE!$D$2:$D$501&lt;&gt;A21)*1E9))),0)</f>
        <v/>
      </c>
    </row>
    <row r="22">
      <c r="A22" s="4">
        <f>IF(CONFIG!E24&lt;&gt;"",CONFIG!E24,"")</f>
        <v/>
      </c>
      <c r="B22" s="9">
        <f>IF(A22="",0,SUMIFS(SAISIE!$O$2:$O$501,SAISIE!$D$2:$D$501,A22))</f>
        <v/>
      </c>
      <c r="C22" s="4">
        <f>IF(A22="",0,COUNTIF(SAISIE!$D$2:$D$501,A22))</f>
        <v/>
      </c>
      <c r="D22" s="4">
        <f>IFERROR(SUMPRODUCT((SAISIE!$D$2:$D$501=A22)*((SAISIE!$E$2:$E$501&gt;0)+(SAISIE!$F$2:$F$501&gt;0)+(SAISIE!$G$2:$G$501&gt;0)+(SAISIE!$H$2:$H$501&gt;0)+(SAISIE!$I$2:$I$501&gt;0)+(SAISIE!$J$2:$J$501&gt;0)+(SAISIE!$K$2:$K$501&gt;0)+(SAISIE!$L$2:$L$501&gt;0)+(SAISIE!$M$2:$M$501&gt;0)+(SAISIE!$N$2:$N$501&gt;0))),0)</f>
        <v/>
      </c>
      <c r="E22" s="4">
        <f>IFERROR(SUMPRODUCT((SAISIE!$D$2:$D$501=A22)/(COUNTIFS(SAISIE!$A$2:$A$501,SAISIE!$A$2:$A$501,SAISIE!$D$2:$D$501,A22)+((SAISIE!$D$2:$D$501&lt;&gt;A22)*1E9))),0)</f>
        <v/>
      </c>
    </row>
    <row r="23">
      <c r="A23" s="13" t="inlineStr">
        <is>
          <t>TOTAL</t>
        </is>
      </c>
      <c r="B23" s="14">
        <f>SUM(B3:B22)</f>
        <v/>
      </c>
      <c r="C23" s="16">
        <f>SUM(C3:C22)</f>
        <v/>
      </c>
      <c r="D23" s="16">
        <f>SUM(D3:D22)</f>
        <v/>
      </c>
      <c r="E23" s="16">
        <f>SUM(E3:E22)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16" customWidth="1" min="4" max="4"/>
    <col width="18" customWidth="1" min="5" max="5"/>
  </cols>
  <sheetData>
    <row r="1">
      <c r="A1" s="1" t="inlineStr">
        <is>
          <t>SUIVI PAR INTERVENANT</t>
        </is>
      </c>
    </row>
    <row r="2">
      <c r="A2" s="7" t="inlineStr">
        <is>
          <t>Intervenant</t>
        </is>
      </c>
      <c r="B2" s="7" t="inlineStr">
        <is>
          <t>Dose totale (mSv)</t>
        </is>
      </c>
      <c r="C2" s="7" t="inlineStr">
        <is>
          <t>Postes</t>
        </is>
      </c>
      <c r="D2" s="7" t="inlineStr">
        <is>
          <t>Dose moy/poste</t>
        </is>
      </c>
      <c r="E2" s="7" t="inlineStr">
        <is>
          <t>% limite (3 mSv)</t>
        </is>
      </c>
    </row>
    <row r="3">
      <c r="A3" s="4">
        <f>IF(CONFIG!A5&lt;&gt;"",CONFIG!A5,"")</f>
        <v/>
      </c>
      <c r="B3" s="9">
        <f>IF(A3="",0,SUM(SAISIE!$E$2:$E$501))</f>
        <v/>
      </c>
      <c r="C3" s="4">
        <f>IF(A3="",0,COUNTIF(SAISIE!$E$2:$E$501,"&gt;0"))</f>
        <v/>
      </c>
      <c r="D3" s="9">
        <f>IF(OR(A3="",C3=0),"",B3/C3)</f>
        <v/>
      </c>
      <c r="E3" s="10">
        <f>IF(A3="","",B3/3)</f>
        <v/>
      </c>
    </row>
    <row r="4">
      <c r="A4" s="4">
        <f>IF(CONFIG!A6&lt;&gt;"",CONFIG!A6,"")</f>
        <v/>
      </c>
      <c r="B4" s="9">
        <f>IF(A4="",0,SUM(SAISIE!$F$2:$F$501))</f>
        <v/>
      </c>
      <c r="C4" s="4">
        <f>IF(A4="",0,COUNTIF(SAISIE!$F$2:$F$501,"&gt;0"))</f>
        <v/>
      </c>
      <c r="D4" s="9">
        <f>IF(OR(A4="",C4=0),"",B4/C4)</f>
        <v/>
      </c>
      <c r="E4" s="10">
        <f>IF(A4="","",B4/3)</f>
        <v/>
      </c>
    </row>
    <row r="5">
      <c r="A5" s="4">
        <f>IF(CONFIG!A7&lt;&gt;"",CONFIG!A7,"")</f>
        <v/>
      </c>
      <c r="B5" s="9">
        <f>IF(A5="",0,SUM(SAISIE!$G$2:$G$501))</f>
        <v/>
      </c>
      <c r="C5" s="4">
        <f>IF(A5="",0,COUNTIF(SAISIE!$G$2:$G$501,"&gt;0"))</f>
        <v/>
      </c>
      <c r="D5" s="9">
        <f>IF(OR(A5="",C5=0),"",B5/C5)</f>
        <v/>
      </c>
      <c r="E5" s="10">
        <f>IF(A5="","",B5/3)</f>
        <v/>
      </c>
    </row>
    <row r="6">
      <c r="A6" s="4">
        <f>IF(CONFIG!A8&lt;&gt;"",CONFIG!A8,"")</f>
        <v/>
      </c>
      <c r="B6" s="9">
        <f>IF(A6="",0,SUM(SAISIE!$H$2:$H$501))</f>
        <v/>
      </c>
      <c r="C6" s="4">
        <f>IF(A6="",0,COUNTIF(SAISIE!$H$2:$H$501,"&gt;0"))</f>
        <v/>
      </c>
      <c r="D6" s="9">
        <f>IF(OR(A6="",C6=0),"",B6/C6)</f>
        <v/>
      </c>
      <c r="E6" s="10">
        <f>IF(A6="","",B6/3)</f>
        <v/>
      </c>
    </row>
    <row r="7">
      <c r="A7" s="4">
        <f>IF(CONFIG!A9&lt;&gt;"",CONFIG!A9,"")</f>
        <v/>
      </c>
      <c r="B7" s="9">
        <f>IF(A7="",0,SUM(SAISIE!$I$2:$I$501))</f>
        <v/>
      </c>
      <c r="C7" s="4">
        <f>IF(A7="",0,COUNTIF(SAISIE!$I$2:$I$501,"&gt;0"))</f>
        <v/>
      </c>
      <c r="D7" s="9">
        <f>IF(OR(A7="",C7=0),"",B7/C7)</f>
        <v/>
      </c>
      <c r="E7" s="10">
        <f>IF(A7="","",B7/3)</f>
        <v/>
      </c>
    </row>
    <row r="8">
      <c r="A8" s="4">
        <f>IF(CONFIG!A10&lt;&gt;"",CONFIG!A10,"")</f>
        <v/>
      </c>
      <c r="B8" s="9">
        <f>IF(A8="",0,SUM(SAISIE!$J$2:$J$501))</f>
        <v/>
      </c>
      <c r="C8" s="4">
        <f>IF(A8="",0,COUNTIF(SAISIE!$J$2:$J$501,"&gt;0"))</f>
        <v/>
      </c>
      <c r="D8" s="9">
        <f>IF(OR(A8="",C8=0),"",B8/C8)</f>
        <v/>
      </c>
      <c r="E8" s="10">
        <f>IF(A8="","",B8/3)</f>
        <v/>
      </c>
    </row>
    <row r="9">
      <c r="A9" s="4">
        <f>IF(CONFIG!A11&lt;&gt;"",CONFIG!A11,"")</f>
        <v/>
      </c>
      <c r="B9" s="9">
        <f>IF(A9="",0,SUM(SAISIE!$K$2:$K$501))</f>
        <v/>
      </c>
      <c r="C9" s="4">
        <f>IF(A9="",0,COUNTIF(SAISIE!$K$2:$K$501,"&gt;0"))</f>
        <v/>
      </c>
      <c r="D9" s="9">
        <f>IF(OR(A9="",C9=0),"",B9/C9)</f>
        <v/>
      </c>
      <c r="E9" s="10">
        <f>IF(A9="","",B9/3)</f>
        <v/>
      </c>
    </row>
    <row r="10">
      <c r="A10" s="4">
        <f>IF(CONFIG!A12&lt;&gt;"",CONFIG!A12,"")</f>
        <v/>
      </c>
      <c r="B10" s="9">
        <f>IF(A10="",0,SUM(SAISIE!$L$2:$L$501))</f>
        <v/>
      </c>
      <c r="C10" s="4">
        <f>IF(A10="",0,COUNTIF(SAISIE!$L$2:$L$501,"&gt;0"))</f>
        <v/>
      </c>
      <c r="D10" s="9">
        <f>IF(OR(A10="",C10=0),"",B10/C10)</f>
        <v/>
      </c>
      <c r="E10" s="10">
        <f>IF(A10="","",B10/3)</f>
        <v/>
      </c>
    </row>
    <row r="11">
      <c r="A11" s="4">
        <f>IF(CONFIG!A13&lt;&gt;"",CONFIG!A13,"")</f>
        <v/>
      </c>
      <c r="B11" s="9">
        <f>IF(A11="",0,SUM(SAISIE!$M$2:$M$501))</f>
        <v/>
      </c>
      <c r="C11" s="4">
        <f>IF(A11="",0,COUNTIF(SAISIE!$M$2:$M$501,"&gt;0"))</f>
        <v/>
      </c>
      <c r="D11" s="9">
        <f>IF(OR(A11="",C11=0),"",B11/C11)</f>
        <v/>
      </c>
      <c r="E11" s="10">
        <f>IF(A11="","",B11/3)</f>
        <v/>
      </c>
    </row>
    <row r="12">
      <c r="A12" s="4">
        <f>IF(CONFIG!A14&lt;&gt;"",CONFIG!A14,"")</f>
        <v/>
      </c>
      <c r="B12" s="9">
        <f>IF(A12="",0,SUM(SAISIE!$N$2:$N$501))</f>
        <v/>
      </c>
      <c r="C12" s="4">
        <f>IF(A12="",0,COUNTIF(SAISIE!$N$2:$N$501,"&gt;0"))</f>
        <v/>
      </c>
      <c r="D12" s="9">
        <f>IF(OR(A12="",C12=0),"",B12/C12)</f>
        <v/>
      </c>
      <c r="E12" s="10">
        <f>IF(A12="","",B12/3)</f>
        <v/>
      </c>
    </row>
    <row r="13">
      <c r="A13" s="13" t="inlineStr">
        <is>
          <t>TOTAL</t>
        </is>
      </c>
      <c r="B13" s="14">
        <f>SUM(B3:B12)</f>
        <v/>
      </c>
      <c r="C13" s="13">
        <f>SUM(C3:C12)</f>
        <v/>
      </c>
      <c r="D13" s="14">
        <f>IFERROR(B13/C13,"")</f>
        <v/>
      </c>
      <c r="E13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2026-02-25T12:01:43Z</dcterms:created>
  <dcterms:modified xsi:type="dcterms:W3CDTF">2026-02-25T12:01:43Z</dcterms:modified>
</cp:coreProperties>
</file>